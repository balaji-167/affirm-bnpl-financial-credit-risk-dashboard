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dhu\Desktop\Balaji Reddy\Affirm_BNPL_Finance_Project\data\processed\"/>
    </mc:Choice>
  </mc:AlternateContent>
  <xr:revisionPtr revIDLastSave="0" documentId="8_{EC83D458-551D-4F10-ABF3-196FDA4168C7}" xr6:coauthVersionLast="47" xr6:coauthVersionMax="47" xr10:uidLastSave="{00000000-0000-0000-0000-000000000000}"/>
  <bookViews>
    <workbookView xWindow="-108" yWindow="-108" windowWidth="23256" windowHeight="13896" firstSheet="10" activeTab="14" xr2:uid="{9960E3DC-E02F-4E1A-8F21-D785CAF2C495}"/>
  </bookViews>
  <sheets>
    <sheet name="ReadMe" sheetId="1" r:id="rId1"/>
    <sheet name="Source_Tracker" sheetId="2" r:id="rId2"/>
    <sheet name="Raw_10K_Extract" sheetId="3" r:id="rId3"/>
    <sheet name="Clean_Financials" sheetId="4" r:id="rId4"/>
    <sheet name="Income_Statement" sheetId="5" r:id="rId5"/>
    <sheet name="Balance_Sheet" sheetId="6" r:id="rId6"/>
    <sheet name="Cash_Flow" sheetId="7" r:id="rId7"/>
    <sheet name="Key_Metrics" sheetId="8" r:id="rId8"/>
    <sheet name="Assumptions" sheetId="9" r:id="rId9"/>
    <sheet name="Forecast_Model" sheetId="11" r:id="rId10"/>
    <sheet name="DCF_Valuation" sheetId="12" r:id="rId11"/>
    <sheet name="Variance_Analysis" sheetId="13" r:id="rId12"/>
    <sheet name="Scenario_Analysis" sheetId="14" r:id="rId13"/>
    <sheet name="Benchmark" sheetId="15" r:id="rId14"/>
    <sheet name="Output_Summary"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3" l="1"/>
  <c r="D5" i="13"/>
  <c r="E5" i="13"/>
  <c r="F5" i="13"/>
  <c r="G5" i="13"/>
  <c r="H5" i="13"/>
  <c r="B6" i="13"/>
  <c r="D6" i="13"/>
  <c r="E6" i="13"/>
  <c r="F6" i="13"/>
  <c r="G6" i="13"/>
  <c r="H6" i="13"/>
  <c r="B7" i="13"/>
  <c r="D7" i="13"/>
  <c r="E7" i="13"/>
  <c r="F7" i="13"/>
  <c r="G7" i="13"/>
  <c r="H7" i="13"/>
  <c r="B8" i="13"/>
  <c r="D8" i="13"/>
  <c r="E8" i="13"/>
  <c r="F8" i="13"/>
  <c r="G8" i="13"/>
  <c r="H8" i="13"/>
  <c r="B9" i="13"/>
  <c r="D9" i="13"/>
  <c r="E9" i="13"/>
  <c r="F9" i="13"/>
  <c r="G9" i="13"/>
  <c r="H9" i="13"/>
  <c r="B10" i="13"/>
  <c r="D10" i="13"/>
  <c r="E10" i="13"/>
  <c r="F10" i="13"/>
  <c r="G10" i="13"/>
  <c r="H10" i="13"/>
  <c r="B11" i="13"/>
  <c r="D11" i="13"/>
  <c r="E11" i="13"/>
  <c r="F11" i="13"/>
  <c r="G11" i="13" s="1"/>
  <c r="H11" i="13"/>
  <c r="G13" i="12"/>
  <c r="G12" i="12"/>
  <c r="G11" i="12"/>
  <c r="F5" i="12"/>
  <c r="E5" i="12"/>
  <c r="D5" i="12"/>
  <c r="C5" i="12"/>
  <c r="B5" i="12"/>
  <c r="B7" i="12"/>
  <c r="C7" i="12"/>
  <c r="D7" i="12"/>
  <c r="E7" i="12"/>
  <c r="F7" i="12"/>
  <c r="B8" i="12"/>
  <c r="C8" i="12"/>
  <c r="D8" i="12"/>
  <c r="D9" i="12" s="1"/>
  <c r="E8" i="12"/>
  <c r="E9" i="12" s="1"/>
  <c r="F8" i="12"/>
  <c r="F9" i="12" s="1"/>
  <c r="G10" i="12"/>
  <c r="B5" i="11"/>
  <c r="C5" i="11"/>
  <c r="D5" i="11"/>
  <c r="E5" i="11"/>
  <c r="F5" i="11"/>
  <c r="G5" i="11"/>
  <c r="B6" i="11"/>
  <c r="C6" i="11"/>
  <c r="D6" i="11"/>
  <c r="E6" i="11"/>
  <c r="F6" i="11"/>
  <c r="G6" i="11"/>
  <c r="B7" i="11"/>
  <c r="C7" i="11"/>
  <c r="D7" i="11"/>
  <c r="E7" i="11"/>
  <c r="F7" i="11"/>
  <c r="G7" i="11"/>
  <c r="B8" i="11"/>
  <c r="C8" i="11"/>
  <c r="D8" i="11"/>
  <c r="E8" i="11"/>
  <c r="F8" i="11"/>
  <c r="G8" i="11"/>
  <c r="C9" i="11"/>
  <c r="D9" i="11"/>
  <c r="E9" i="11"/>
  <c r="F9" i="11"/>
  <c r="G9" i="11"/>
  <c r="C10" i="11"/>
  <c r="D10" i="11"/>
  <c r="E10" i="11"/>
  <c r="F10" i="11"/>
  <c r="G10" i="11"/>
  <c r="C11" i="11"/>
  <c r="D11" i="11"/>
  <c r="E11" i="11"/>
  <c r="F11" i="11"/>
  <c r="G11" i="11"/>
  <c r="C12" i="11"/>
  <c r="D12" i="11"/>
  <c r="E12" i="11"/>
  <c r="F12" i="11"/>
  <c r="G12" i="11"/>
  <c r="C13" i="11"/>
  <c r="D13" i="11"/>
  <c r="E13" i="11"/>
  <c r="F13" i="11"/>
  <c r="G13" i="11"/>
  <c r="C14" i="11"/>
  <c r="D14" i="11"/>
  <c r="E14" i="11"/>
  <c r="F14" i="11"/>
  <c r="G14" i="11"/>
  <c r="C15" i="11"/>
  <c r="D15" i="11"/>
  <c r="E15" i="11"/>
  <c r="F15" i="11"/>
  <c r="G15" i="11"/>
  <c r="C16" i="11"/>
  <c r="D16" i="11"/>
  <c r="E16" i="11"/>
  <c r="F16" i="11"/>
  <c r="G16" i="11"/>
  <c r="C17" i="11"/>
  <c r="D17" i="11"/>
  <c r="E17" i="11"/>
  <c r="F17" i="11"/>
  <c r="G17" i="11"/>
  <c r="B18" i="11"/>
  <c r="C18" i="11"/>
  <c r="D18" i="11"/>
  <c r="E18" i="11"/>
  <c r="F18" i="11"/>
  <c r="G18" i="11"/>
  <c r="F6" i="9"/>
  <c r="F7" i="9"/>
  <c r="F8" i="9"/>
  <c r="F9" i="9"/>
  <c r="F10" i="9"/>
  <c r="F11" i="9"/>
  <c r="F12" i="9"/>
  <c r="F13" i="9"/>
  <c r="F14" i="9"/>
  <c r="F15" i="9"/>
  <c r="F16" i="9"/>
  <c r="F17" i="9"/>
  <c r="F18" i="9"/>
  <c r="F19" i="9"/>
  <c r="F20" i="9"/>
  <c r="F5" i="9"/>
  <c r="E11" i="8"/>
  <c r="E12" i="8"/>
  <c r="E13" i="8"/>
  <c r="E14" i="8"/>
  <c r="E15" i="8"/>
  <c r="E16" i="8"/>
  <c r="E17" i="8"/>
  <c r="E18" i="8"/>
  <c r="B5" i="8"/>
  <c r="C5" i="8"/>
  <c r="D5" i="8"/>
  <c r="B6" i="8"/>
  <c r="C6" i="8"/>
  <c r="D6" i="8"/>
  <c r="B7" i="8"/>
  <c r="C7" i="8"/>
  <c r="D7" i="8"/>
  <c r="B8" i="8"/>
  <c r="C8" i="8"/>
  <c r="D8" i="8"/>
  <c r="B9" i="8"/>
  <c r="C9" i="8"/>
  <c r="D9" i="8"/>
  <c r="B10" i="8"/>
  <c r="C10" i="8"/>
  <c r="D10" i="8"/>
  <c r="B11" i="8"/>
  <c r="C11" i="8"/>
  <c r="D11" i="8"/>
  <c r="B12" i="8"/>
  <c r="C12" i="8"/>
  <c r="D12" i="8"/>
  <c r="B13" i="8"/>
  <c r="C13" i="8"/>
  <c r="D13" i="8"/>
  <c r="B14" i="8"/>
  <c r="C14" i="8"/>
  <c r="D14" i="8"/>
  <c r="B15" i="8"/>
  <c r="C15" i="8"/>
  <c r="D15" i="8"/>
  <c r="B16" i="8"/>
  <c r="C16" i="8"/>
  <c r="D16" i="8"/>
  <c r="B17" i="8"/>
  <c r="C17" i="8"/>
  <c r="D17" i="8"/>
  <c r="B18" i="8"/>
  <c r="C18" i="8"/>
  <c r="D18" i="8"/>
  <c r="B5" i="7"/>
  <c r="C5" i="7"/>
  <c r="D5" i="7"/>
  <c r="E5" i="7"/>
  <c r="F5" i="7"/>
  <c r="B6" i="7"/>
  <c r="C6" i="7"/>
  <c r="D6" i="7"/>
  <c r="E6" i="7"/>
  <c r="F6" i="7"/>
  <c r="B7" i="7"/>
  <c r="C7" i="7"/>
  <c r="D7" i="7"/>
  <c r="E7" i="7"/>
  <c r="F7" i="7"/>
  <c r="B8" i="7"/>
  <c r="C8" i="7"/>
  <c r="D8" i="7"/>
  <c r="E8" i="7"/>
  <c r="F8" i="7"/>
  <c r="B9" i="7"/>
  <c r="C9" i="7"/>
  <c r="D9" i="7"/>
  <c r="E9" i="7"/>
  <c r="F9" i="7"/>
  <c r="B11" i="7"/>
  <c r="C11" i="7"/>
  <c r="D11" i="7"/>
  <c r="E11" i="7"/>
  <c r="F11" i="7"/>
  <c r="B12" i="7"/>
  <c r="C12" i="7"/>
  <c r="D12" i="7"/>
  <c r="E12" i="7"/>
  <c r="F12" i="7"/>
  <c r="B14" i="7"/>
  <c r="C14" i="7"/>
  <c r="D14" i="7"/>
  <c r="E14" i="7"/>
  <c r="F14" i="7"/>
  <c r="B16" i="7"/>
  <c r="C16" i="7"/>
  <c r="D16" i="7"/>
  <c r="E16" i="7"/>
  <c r="F16" i="7"/>
  <c r="B5" i="6"/>
  <c r="C5" i="6"/>
  <c r="D5" i="6"/>
  <c r="E5" i="6"/>
  <c r="F5" i="6"/>
  <c r="B6" i="6"/>
  <c r="C6" i="6"/>
  <c r="D6" i="6"/>
  <c r="E6" i="6"/>
  <c r="F6" i="6"/>
  <c r="B7" i="6"/>
  <c r="C7" i="6"/>
  <c r="D7" i="6"/>
  <c r="E7" i="6"/>
  <c r="F7" i="6"/>
  <c r="B8" i="6"/>
  <c r="C8" i="6"/>
  <c r="D8" i="6"/>
  <c r="E8" i="6"/>
  <c r="F8" i="6"/>
  <c r="B9" i="6"/>
  <c r="C9" i="6"/>
  <c r="D9" i="6"/>
  <c r="E9" i="6"/>
  <c r="F9" i="6"/>
  <c r="B10" i="6"/>
  <c r="C10" i="6"/>
  <c r="D10" i="6"/>
  <c r="E10" i="6"/>
  <c r="F10" i="6"/>
  <c r="B11" i="6"/>
  <c r="C11" i="6"/>
  <c r="D11" i="6"/>
  <c r="E11" i="6"/>
  <c r="F11" i="6"/>
  <c r="B12" i="6"/>
  <c r="C12" i="6"/>
  <c r="D12" i="6"/>
  <c r="E12" i="6"/>
  <c r="F12" i="6"/>
  <c r="B13" i="6"/>
  <c r="C13" i="6"/>
  <c r="D13" i="6"/>
  <c r="E13" i="6"/>
  <c r="F13" i="6"/>
  <c r="B14" i="6"/>
  <c r="C14" i="6"/>
  <c r="D14" i="6"/>
  <c r="E14" i="6"/>
  <c r="F14" i="6"/>
  <c r="B15" i="6"/>
  <c r="C15" i="6"/>
  <c r="D15" i="6"/>
  <c r="E15" i="6"/>
  <c r="F15" i="6"/>
  <c r="B16" i="6"/>
  <c r="C16" i="6"/>
  <c r="D16" i="6"/>
  <c r="E16" i="6"/>
  <c r="F16" i="6"/>
  <c r="B17" i="6"/>
  <c r="C17" i="6"/>
  <c r="D17" i="6"/>
  <c r="E17" i="6"/>
  <c r="F17" i="6"/>
  <c r="B18" i="6"/>
  <c r="C18" i="6"/>
  <c r="D18" i="6"/>
  <c r="E18" i="6"/>
  <c r="F18" i="6"/>
  <c r="B19" i="6"/>
  <c r="C19" i="6"/>
  <c r="D19" i="6"/>
  <c r="E19" i="6"/>
  <c r="F19" i="6"/>
  <c r="B20" i="6"/>
  <c r="C20" i="6"/>
  <c r="D20" i="6"/>
  <c r="E20" i="6"/>
  <c r="F20" i="6"/>
  <c r="B21" i="6"/>
  <c r="C21" i="6"/>
  <c r="D21" i="6"/>
  <c r="E21" i="6"/>
  <c r="F21" i="6"/>
  <c r="B22" i="6"/>
  <c r="C22" i="6"/>
  <c r="D22" i="6"/>
  <c r="E22" i="6"/>
  <c r="F22" i="6"/>
  <c r="B23" i="6"/>
  <c r="C23" i="6"/>
  <c r="D23" i="6"/>
  <c r="E23" i="6"/>
  <c r="F23" i="6"/>
  <c r="B24" i="6"/>
  <c r="C24" i="6"/>
  <c r="D24" i="6"/>
  <c r="E24" i="6"/>
  <c r="F24" i="6"/>
  <c r="B25" i="6"/>
  <c r="C25" i="6"/>
  <c r="D25" i="6"/>
  <c r="E25" i="6"/>
  <c r="F25" i="6"/>
  <c r="B26" i="6"/>
  <c r="C26" i="6"/>
  <c r="D26" i="6"/>
  <c r="E26" i="6"/>
  <c r="F26" i="6"/>
  <c r="B27" i="6"/>
  <c r="C27" i="6"/>
  <c r="D27" i="6"/>
  <c r="E27" i="6"/>
  <c r="F27" i="6"/>
  <c r="B28" i="6"/>
  <c r="C28" i="6"/>
  <c r="D28" i="6"/>
  <c r="E28" i="6"/>
  <c r="F28" i="6"/>
  <c r="B29" i="6"/>
  <c r="C29" i="6"/>
  <c r="D29" i="6"/>
  <c r="E29" i="6"/>
  <c r="F29" i="6"/>
  <c r="B30" i="6"/>
  <c r="C30" i="6"/>
  <c r="D30" i="6"/>
  <c r="E30" i="6"/>
  <c r="F30" i="6"/>
  <c r="B31" i="6"/>
  <c r="C31" i="6"/>
  <c r="D31" i="6"/>
  <c r="E31" i="6"/>
  <c r="F31" i="6"/>
  <c r="B32" i="6"/>
  <c r="C32" i="6"/>
  <c r="D32" i="6"/>
  <c r="F6" i="5"/>
  <c r="F7" i="5"/>
  <c r="F8" i="5"/>
  <c r="F9" i="5"/>
  <c r="F10" i="5"/>
  <c r="F11" i="5"/>
  <c r="F12" i="5"/>
  <c r="F13" i="5"/>
  <c r="F14" i="5"/>
  <c r="F15" i="5"/>
  <c r="F16" i="5"/>
  <c r="F17" i="5"/>
  <c r="F18" i="5"/>
  <c r="F19" i="5"/>
  <c r="F20" i="5"/>
  <c r="F21" i="5"/>
  <c r="F22" i="5"/>
  <c r="F23" i="5"/>
  <c r="F24" i="5"/>
  <c r="F25" i="5"/>
  <c r="F26" i="5"/>
  <c r="F27" i="5"/>
  <c r="E6" i="5"/>
  <c r="E7" i="5"/>
  <c r="E8" i="5"/>
  <c r="E9" i="5"/>
  <c r="E10" i="5"/>
  <c r="E11" i="5"/>
  <c r="E12" i="5"/>
  <c r="E13" i="5"/>
  <c r="E14" i="5"/>
  <c r="E15" i="5"/>
  <c r="E16" i="5"/>
  <c r="E17" i="5"/>
  <c r="E18" i="5"/>
  <c r="E19" i="5"/>
  <c r="E20" i="5"/>
  <c r="E21" i="5"/>
  <c r="E22" i="5"/>
  <c r="E23" i="5"/>
  <c r="E24" i="5"/>
  <c r="E25" i="5"/>
  <c r="E26" i="5"/>
  <c r="E27" i="5"/>
  <c r="E5" i="5"/>
  <c r="F5" i="5"/>
  <c r="D5" i="5"/>
  <c r="C5" i="5"/>
  <c r="B5" i="5"/>
  <c r="B6" i="5"/>
  <c r="C6" i="5"/>
  <c r="D6" i="5"/>
  <c r="B7" i="5"/>
  <c r="C7" i="5"/>
  <c r="D7" i="5"/>
  <c r="B8" i="5"/>
  <c r="C8" i="5"/>
  <c r="D8" i="5"/>
  <c r="B9" i="5"/>
  <c r="C9" i="5"/>
  <c r="D9" i="5"/>
  <c r="B10" i="5"/>
  <c r="C10" i="5"/>
  <c r="D10" i="5"/>
  <c r="B11" i="5"/>
  <c r="C11" i="5"/>
  <c r="D11" i="5"/>
  <c r="B13" i="5"/>
  <c r="C13" i="5"/>
  <c r="D13" i="5"/>
  <c r="B14" i="5"/>
  <c r="C14" i="5"/>
  <c r="D14" i="5"/>
  <c r="B15" i="5"/>
  <c r="C15" i="5"/>
  <c r="D15" i="5"/>
  <c r="B16" i="5"/>
  <c r="C16" i="5"/>
  <c r="D16" i="5"/>
  <c r="B17" i="5"/>
  <c r="C17" i="5"/>
  <c r="D17" i="5"/>
  <c r="B18" i="5"/>
  <c r="C18" i="5"/>
  <c r="D18" i="5"/>
  <c r="B19" i="5"/>
  <c r="C19" i="5"/>
  <c r="D19" i="5"/>
  <c r="B20" i="5"/>
  <c r="C20" i="5"/>
  <c r="D20" i="5"/>
  <c r="B21" i="5"/>
  <c r="C21" i="5"/>
  <c r="D21" i="5"/>
  <c r="B23" i="5"/>
  <c r="C23" i="5"/>
  <c r="D23" i="5"/>
  <c r="B24" i="5"/>
  <c r="C24" i="5"/>
  <c r="D24" i="5"/>
  <c r="B25" i="5"/>
  <c r="C25" i="5"/>
  <c r="D25" i="5"/>
  <c r="B26" i="5"/>
  <c r="C26" i="5"/>
  <c r="D26" i="5"/>
  <c r="B27" i="5"/>
  <c r="C27" i="5"/>
  <c r="D27" i="5"/>
  <c r="C13" i="4"/>
  <c r="C3" i="4"/>
  <c r="C4" i="4"/>
  <c r="C5" i="4"/>
  <c r="C6" i="4"/>
  <c r="C7" i="4"/>
  <c r="C8" i="4"/>
  <c r="D10" i="4"/>
  <c r="E10" i="4"/>
  <c r="C10" i="4"/>
  <c r="D22" i="4"/>
  <c r="E22" i="4"/>
  <c r="C22" i="4"/>
  <c r="D21" i="4"/>
  <c r="E21" i="4"/>
  <c r="C21" i="4"/>
  <c r="E15" i="4"/>
  <c r="D15" i="4"/>
  <c r="D13" i="4"/>
  <c r="E13" i="4"/>
  <c r="D12" i="4"/>
  <c r="E12" i="4"/>
  <c r="D11" i="4"/>
  <c r="E11" i="4"/>
  <c r="E9" i="4"/>
  <c r="D9" i="4"/>
  <c r="C2" i="4"/>
  <c r="C14" i="4"/>
  <c r="C15" i="4"/>
  <c r="C16" i="4"/>
  <c r="C17" i="4"/>
  <c r="C18" i="4"/>
  <c r="C19" i="4"/>
  <c r="C20" i="4"/>
  <c r="D7" i="4"/>
  <c r="E8" i="4"/>
  <c r="E7" i="4"/>
  <c r="E2" i="4"/>
  <c r="E3" i="4"/>
  <c r="E4" i="4"/>
  <c r="E5" i="4"/>
  <c r="E6" i="4"/>
  <c r="E14" i="4"/>
  <c r="E16" i="4"/>
  <c r="E17" i="4"/>
  <c r="E18" i="4"/>
  <c r="E19" i="4"/>
  <c r="E20" i="4"/>
  <c r="D2" i="4"/>
  <c r="D3" i="4"/>
  <c r="D4" i="4"/>
  <c r="D5" i="4"/>
  <c r="D6" i="4"/>
  <c r="D14" i="4"/>
  <c r="D16" i="4"/>
  <c r="D17" i="4"/>
  <c r="D18" i="4"/>
  <c r="D19" i="4"/>
  <c r="D20" i="4"/>
  <c r="E5" i="8" l="1"/>
  <c r="E9" i="8"/>
  <c r="E6" i="8"/>
  <c r="E7" i="8"/>
  <c r="E8" i="8"/>
  <c r="E10" i="8"/>
  <c r="C9" i="12"/>
  <c r="B9" i="12"/>
  <c r="C12" i="4"/>
  <c r="C11" i="4"/>
  <c r="C9" i="4"/>
  <c r="D8" i="4"/>
</calcChain>
</file>

<file path=xl/sharedStrings.xml><?xml version="1.0" encoding="utf-8"?>
<sst xmlns="http://schemas.openxmlformats.org/spreadsheetml/2006/main" count="888" uniqueCount="439">
  <si>
    <t>Section</t>
  </si>
  <si>
    <t>Description</t>
  </si>
  <si>
    <t>Project Title</t>
  </si>
  <si>
    <t>Affirm BNPL Financial &amp; Credit Risk Analytics</t>
  </si>
  <si>
    <t>Company</t>
  </si>
  <si>
    <t>Affirm Holdings, Inc.</t>
  </si>
  <si>
    <t>Period Covered</t>
  </si>
  <si>
    <t>FY2022–FY2024</t>
  </si>
  <si>
    <t>Main Data Source</t>
  </si>
  <si>
    <t>Affirm 10-K Annual Reports</t>
  </si>
  <si>
    <t>Secondary Dataset</t>
  </si>
  <si>
    <t>BNPL Kaggle transaction dataset</t>
  </si>
  <si>
    <t>Excel Scope</t>
  </si>
  <si>
    <t>3-statement model, DCF, variance analysis, forecast, scenario analysis</t>
  </si>
  <si>
    <t>Power BI Scope</t>
  </si>
  <si>
    <t>Executive summary, P&amp;L analysis, credit risk, cohort analysis, benchmark</t>
  </si>
  <si>
    <t>Important Note</t>
  </si>
  <si>
    <t>Affirm financials are based on audited filings. BNPL transaction data is synthetic and used only for transaction-level analysis.</t>
  </si>
  <si>
    <t>Dataset</t>
  </si>
  <si>
    <t>File Name</t>
  </si>
  <si>
    <t>Source Type</t>
  </si>
  <si>
    <t>Purpose</t>
  </si>
  <si>
    <t>Status</t>
  </si>
  <si>
    <t>Affirm FY2022 10-K</t>
  </si>
  <si>
    <t>affirm_2022_10k.pdf</t>
  </si>
  <si>
    <t>Annual Report / SEC Filing</t>
  </si>
  <si>
    <t>Historical financial extraction</t>
  </si>
  <si>
    <t>Downloaded</t>
  </si>
  <si>
    <t>Affirm FY2023 10-K</t>
  </si>
  <si>
    <t>affirm_2023_10k.pdf</t>
  </si>
  <si>
    <t>Affirm FY2024 10-K</t>
  </si>
  <si>
    <t>affirm_2024_10k.pdf</t>
  </si>
  <si>
    <t>BNPL Transaction Dataset</t>
  </si>
  <si>
    <t>bnpl_transactions_raw.csv</t>
  </si>
  <si>
    <t>Kaggle CSV</t>
  </si>
  <si>
    <t>Transaction-level credit risk and cohort analysis</t>
  </si>
  <si>
    <t>Statement</t>
  </si>
  <si>
    <t>Metric</t>
  </si>
  <si>
    <t>FY2022</t>
  </si>
  <si>
    <t>FY2023</t>
  </si>
  <si>
    <t>FY2024</t>
  </si>
  <si>
    <t>Unit</t>
  </si>
  <si>
    <t>Source Page</t>
  </si>
  <si>
    <t>Notes</t>
  </si>
  <si>
    <t>GMV</t>
  </si>
  <si>
    <t>Active Consumers</t>
  </si>
  <si>
    <t>Active Merchants</t>
  </si>
  <si>
    <t>Transactions per Active Consumer</t>
  </si>
  <si>
    <t>Operating Metrics</t>
  </si>
  <si>
    <t>Platform Scale</t>
  </si>
  <si>
    <t>Consumer Base</t>
  </si>
  <si>
    <t>Merchant Base</t>
  </si>
  <si>
    <t>Consumer Engagement</t>
  </si>
  <si>
    <t>millions</t>
  </si>
  <si>
    <t>thousands</t>
  </si>
  <si>
    <t>x</t>
  </si>
  <si>
    <t>USD millions</t>
  </si>
  <si>
    <t>FY2022 p.61 / FY2024 p.66</t>
  </si>
  <si>
    <t>Total transaction volume processed on Affirm platform</t>
  </si>
  <si>
    <t>Consumers with at least one transaction in last 12 months</t>
  </si>
  <si>
    <t>FY2022 p.59 / FY2024 p.5</t>
  </si>
  <si>
    <t>Active merchants on Affirm platform</t>
  </si>
  <si>
    <t>FY2022 p.61 / FY2024 p.3</t>
  </si>
  <si>
    <t>Average transactions per active consumer</t>
  </si>
  <si>
    <t>Funding Metrics</t>
  </si>
  <si>
    <t>Capital Efficiency</t>
  </si>
  <si>
    <t>Equity Capital % of Total Platform Portfolio</t>
  </si>
  <si>
    <t>%</t>
  </si>
  <si>
    <t>FY2022 p.60 / FY2024 p.63</t>
  </si>
  <si>
    <t>Shows how much equity capital is required to support total platform portfolio</t>
  </si>
  <si>
    <t>Liquidity / Debt Capacity</t>
  </si>
  <si>
    <t>Funding Debt Borrowing Capacity</t>
  </si>
  <si>
    <t>FY2022 p.75 / FY2024 p.72</t>
  </si>
  <si>
    <t>Borrowing capacity from funding debt facilities</t>
  </si>
  <si>
    <t>Liquidity / Debt Usage</t>
  </si>
  <si>
    <t>Funding Debt Principal Outstanding</t>
  </si>
  <si>
    <t>Amount already drawn/used from funding debt facilities</t>
  </si>
  <si>
    <t>Income Statement</t>
  </si>
  <si>
    <t>Revenue</t>
  </si>
  <si>
    <t>Merchant Network Revenue</t>
  </si>
  <si>
    <t>FY2024 p.66</t>
  </si>
  <si>
    <t>Revenue from merchant fees charged on GMV processed through Affirm</t>
  </si>
  <si>
    <t>Card Network Revenue</t>
  </si>
  <si>
    <t>Revenue from virtual card / card network activity</t>
  </si>
  <si>
    <t>Total Network Revenue</t>
  </si>
  <si>
    <t>Merchant network revenue + card network revenue</t>
  </si>
  <si>
    <t>Interest Income</t>
  </si>
  <si>
    <t>Interest earned on loans held or originated through the platform</t>
  </si>
  <si>
    <t>Gain on Sales of Loans</t>
  </si>
  <si>
    <t>Gain from selling loans to third-party investors</t>
  </si>
  <si>
    <t>Servicing Income</t>
  </si>
  <si>
    <t>Fees for servicing loan portfolios owned by third parties</t>
  </si>
  <si>
    <t>Total revenue, net</t>
  </si>
  <si>
    <t>Operating Expenses</t>
  </si>
  <si>
    <t>Loss on Loan Purchase Commitment</t>
  </si>
  <si>
    <t>Loss from purchasing loans above fair value under bank partner arrangements</t>
  </si>
  <si>
    <t>Provision for Credit Losses</t>
  </si>
  <si>
    <t>Estimated expected credit losses on loan portfolio</t>
  </si>
  <si>
    <t>Funding Costs</t>
  </si>
  <si>
    <t>Cost of funding loan originations and financing facilities</t>
  </si>
  <si>
    <t>Processing and Servicing</t>
  </si>
  <si>
    <t>Costs to process payments, service loans, and support customers</t>
  </si>
  <si>
    <t>Technology and Data Analytics</t>
  </si>
  <si>
    <t>Engineering, product, data, analytics, and risk-modeling costs</t>
  </si>
  <si>
    <t>Sales and Marketing</t>
  </si>
  <si>
    <t>Marketing, partnership, and promotional costs</t>
  </si>
  <si>
    <t>General and Administrative</t>
  </si>
  <si>
    <t>Corporate, legal, finance, HR, admin, and stock-based compensation costs</t>
  </si>
  <si>
    <t>Restructuring and Other</t>
  </si>
  <si>
    <t>Restructuring and other non-recurring operating costs</t>
  </si>
  <si>
    <t>Total Operating Expenses</t>
  </si>
  <si>
    <t>Sum of operating expense categories</t>
  </si>
  <si>
    <t>Profitability</t>
  </si>
  <si>
    <t>Operating Income / Loss</t>
  </si>
  <si>
    <t>Revenue minus total operating expenses</t>
  </si>
  <si>
    <t>Other Income, Net</t>
  </si>
  <si>
    <t>Non-operating income and expense items</t>
  </si>
  <si>
    <t>Loss Before Income Taxes</t>
  </si>
  <si>
    <t>Operating loss plus other income, net</t>
  </si>
  <si>
    <t>Income Tax Expense / Benefit</t>
  </si>
  <si>
    <t>Tax expense or tax benefit</t>
  </si>
  <si>
    <t>Net Income / Loss</t>
  </si>
  <si>
    <t>Final bottom-line profit or loss</t>
  </si>
  <si>
    <t>Balance Sheet</t>
  </si>
  <si>
    <t>Assets</t>
  </si>
  <si>
    <t>Cash and Cash Equivalents</t>
  </si>
  <si>
    <t>FY2024 p.84 / FY2023 p.87</t>
  </si>
  <si>
    <t>Cash available at fiscal year-end</t>
  </si>
  <si>
    <t>Restricted Cash</t>
  </si>
  <si>
    <t>Cash restricted for specific operational or funding purposes</t>
  </si>
  <si>
    <t>Securities Available for Sale</t>
  </si>
  <si>
    <t>Investment securities held at fair value</t>
  </si>
  <si>
    <t>Loans Held for Sale</t>
  </si>
  <si>
    <t>Loans expected to be sold to third parties</t>
  </si>
  <si>
    <t>Loans Held for Investment</t>
  </si>
  <si>
    <t>Gross loans held on Affirm balance sheet</t>
  </si>
  <si>
    <t>Allowance for Credit Losses</t>
  </si>
  <si>
    <t>Contra-asset estimate of expected loan credit losses</t>
  </si>
  <si>
    <t>Loans Held for Investment, Net</t>
  </si>
  <si>
    <t>Loans held for investment after allowance for credit losses</t>
  </si>
  <si>
    <t>Accounts Receivable, Net</t>
  </si>
  <si>
    <t>Amounts receivable from merchants, partners, or other parties</t>
  </si>
  <si>
    <t>Property, Equipment and Software, Net</t>
  </si>
  <si>
    <t>Capitalized software, equipment, and property</t>
  </si>
  <si>
    <t>Goodwill</t>
  </si>
  <si>
    <t>Goodwill from acquisitions</t>
  </si>
  <si>
    <t>Intangible Assets</t>
  </si>
  <si>
    <t>Identifiable intangible assets</t>
  </si>
  <si>
    <t>Commercial Agreement Assets</t>
  </si>
  <si>
    <t>Assets related to commercial partnership agreements</t>
  </si>
  <si>
    <t>Other Assets</t>
  </si>
  <si>
    <t>Other non-current or miscellaneous assets</t>
  </si>
  <si>
    <t>Total Assets</t>
  </si>
  <si>
    <t>Total assets owned or controlled by Affirm</t>
  </si>
  <si>
    <t>Liabilities</t>
  </si>
  <si>
    <t>Accounts Payable</t>
  </si>
  <si>
    <t>Amounts owed to suppliers and vendors</t>
  </si>
  <si>
    <t>Payable to Third-Party Loan Owners</t>
  </si>
  <si>
    <t>Amounts payable to third-party loan owners</t>
  </si>
  <si>
    <t>Accrued Interest Payable</t>
  </si>
  <si>
    <t>Interest owed but not yet paid</t>
  </si>
  <si>
    <t>Accrued Expenses and Other Liabilities</t>
  </si>
  <si>
    <t>Accrued expenses and other liabilities</t>
  </si>
  <si>
    <t>Convertible Senior Notes, Net</t>
  </si>
  <si>
    <t>Convertible debt outstanding, net of issuance costs</t>
  </si>
  <si>
    <t>Notes Issued by Securitization Trusts</t>
  </si>
  <si>
    <t>Securitization notes backed by loan assets</t>
  </si>
  <si>
    <t>Funding Debt</t>
  </si>
  <si>
    <t>Debt used to fund loan originations</t>
  </si>
  <si>
    <t>Total Liabilities</t>
  </si>
  <si>
    <t>Total obligations owed by Affirm</t>
  </si>
  <si>
    <t>Equity</t>
  </si>
  <si>
    <t>Additional Paid-In Capital</t>
  </si>
  <si>
    <t>Capital contributed by shareholders above par value</t>
  </si>
  <si>
    <t>Accumulated Deficit</t>
  </si>
  <si>
    <t>Cumulative retained losses</t>
  </si>
  <si>
    <t>Accumulated Other Comprehensive Loss</t>
  </si>
  <si>
    <t>Other comprehensive income/loss accumulated in equity</t>
  </si>
  <si>
    <t>Total Stockholders' Equity</t>
  </si>
  <si>
    <t>Total book value of shareholders’ equity</t>
  </si>
  <si>
    <t>Check</t>
  </si>
  <si>
    <t>Total Liabilities and Stockholders' Equity</t>
  </si>
  <si>
    <t>Should equal total assets</t>
  </si>
  <si>
    <t>s</t>
  </si>
  <si>
    <t>Cash Flow Statement</t>
  </si>
  <si>
    <t>Operating Cash Flow</t>
  </si>
  <si>
    <t>FY2024 p.88 / FY2023 p.91</t>
  </si>
  <si>
    <t>Starting point of cash flow statement</t>
  </si>
  <si>
    <t>Depreciation and Amortization</t>
  </si>
  <si>
    <t>Non-cash expense added back to net loss</t>
  </si>
  <si>
    <t>Stock-Based Compensation</t>
  </si>
  <si>
    <t>Non-cash employee equity compensation</t>
  </si>
  <si>
    <t>Expected credit losses added back in operating cash flow</t>
  </si>
  <si>
    <t>Net Cash Used in Operating Activities</t>
  </si>
  <si>
    <t>Cash used by core operating activities</t>
  </si>
  <si>
    <t>Investing Cash Flow</t>
  </si>
  <si>
    <t>Purchases of Property, Equipment and Software</t>
  </si>
  <si>
    <t>Capital expenditures for software, equipment, and property</t>
  </si>
  <si>
    <t>Net Cash Used in Investing Activities</t>
  </si>
  <si>
    <t>Cash used in investing activities</t>
  </si>
  <si>
    <t>Financing Cash Flow</t>
  </si>
  <si>
    <t>Net Cash Provided by Financing Activities</t>
  </si>
  <si>
    <t>Cash provided by financing activities</t>
  </si>
  <si>
    <t>Free Cash Flow</t>
  </si>
  <si>
    <t>Calculated</t>
  </si>
  <si>
    <t>Operating cash flow minus purchases of property, equipment and software</t>
  </si>
  <si>
    <t>Metric Category</t>
  </si>
  <si>
    <t>Formula / Logic</t>
  </si>
  <si>
    <t>Insight Use</t>
  </si>
  <si>
    <t>GMV Growth %</t>
  </si>
  <si>
    <t>Revenue Growth %</t>
  </si>
  <si>
    <t>Take Rate %</t>
  </si>
  <si>
    <t>Credit Loss Rate %</t>
  </si>
  <si>
    <t>Operating Margin %</t>
  </si>
  <si>
    <t>Net Margin %</t>
  </si>
  <si>
    <t>Free Cash Flow Margin %</t>
  </si>
  <si>
    <t>Active Consumer Growth %</t>
  </si>
  <si>
    <t>Debt-to-Assets %</t>
  </si>
  <si>
    <t>Equity Ratio %</t>
  </si>
  <si>
    <t>Scale</t>
  </si>
  <si>
    <t>Platform transaction volume</t>
  </si>
  <si>
    <t>Company monetization</t>
  </si>
  <si>
    <t>Core operating profitability</t>
  </si>
  <si>
    <t>Final profitability</t>
  </si>
  <si>
    <t>Cash Flow</t>
  </si>
  <si>
    <t>Cash generation after capex</t>
  </si>
  <si>
    <t>Growth</t>
  </si>
  <si>
    <t>Current year GMV / prior year GMV - 1</t>
  </si>
  <si>
    <t>Current year revenue / prior year revenue - 1</t>
  </si>
  <si>
    <t>Efficiency</t>
  </si>
  <si>
    <t>Revenue / GMV</t>
  </si>
  <si>
    <t>Credit Risk</t>
  </si>
  <si>
    <t>Provision for Credit Losses / GMV</t>
  </si>
  <si>
    <t>Operating Income / Revenue</t>
  </si>
  <si>
    <t>Net Income / Revenue</t>
  </si>
  <si>
    <t>Free Cash Flow / Revenue</t>
  </si>
  <si>
    <t>Customer</t>
  </si>
  <si>
    <t>Active customer base</t>
  </si>
  <si>
    <t>Current year active consumers / prior year active consumers - 1</t>
  </si>
  <si>
    <t>Consumer engagement frequency</t>
  </si>
  <si>
    <t>Net loan exposure on balance sheet</t>
  </si>
  <si>
    <t>Total company asset base</t>
  </si>
  <si>
    <t>Total obligations</t>
  </si>
  <si>
    <t>Book equity value</t>
  </si>
  <si>
    <t>Leverage</t>
  </si>
  <si>
    <t>Total liabilities / total assets</t>
  </si>
  <si>
    <t>Capital Structure</t>
  </si>
  <si>
    <t>Total equity / total assets</t>
  </si>
  <si>
    <t>Affirm Holdings, Inc. - Income Statement</t>
  </si>
  <si>
    <t>Line Item</t>
  </si>
  <si>
    <t>FY2023 YoY %</t>
  </si>
  <si>
    <t>FY2024 YoY %</t>
  </si>
  <si>
    <t>Affirm Holdings, Inc. - Balance Sheet</t>
  </si>
  <si>
    <t>Balance Check</t>
  </si>
  <si>
    <t>Affirm Holdings, Inc. - Cash Flow Statement</t>
  </si>
  <si>
    <t>USD millions / ratios</t>
  </si>
  <si>
    <t>Trend</t>
  </si>
  <si>
    <t>Interpretation</t>
  </si>
  <si>
    <t>Platform volume is scaling</t>
  </si>
  <si>
    <t>Revenue growth accelerated in FY2024</t>
  </si>
  <si>
    <t>GMV growth remained strong</t>
  </si>
  <si>
    <t>Revenue grew faster than GMV in FY2024</t>
  </si>
  <si>
    <t>Revenue generated per dollar of GMV</t>
  </si>
  <si>
    <t>Credit losses remain controlled but should be monitored</t>
  </si>
  <si>
    <t>FY2024 operating loss narrowed significantly</t>
  </si>
  <si>
    <t>Consumer base expanded</t>
  </si>
  <si>
    <t>Consumer growth slowed from FY2023 to FY2024</t>
  </si>
  <si>
    <t>Customer engagement improved</t>
  </si>
  <si>
    <t>Balance sheet leverage increased</t>
  </si>
  <si>
    <t>Equity share of assets declined</t>
  </si>
  <si>
    <t xml:space="preserve">Affirm Holdings, Inc. - Key Metrics	</t>
  </si>
  <si>
    <t>Net loss narrowed significantly in FY2024</t>
  </si>
  <si>
    <t>Free cash flow remained negative despite revenue growth</t>
  </si>
  <si>
    <t>Assumption</t>
  </si>
  <si>
    <t>Base Case</t>
  </si>
  <si>
    <t>Bull Case</t>
  </si>
  <si>
    <t>Bear Case</t>
  </si>
  <si>
    <t>Selected Case</t>
  </si>
  <si>
    <t>Selected Value</t>
  </si>
  <si>
    <t>Revenue Growth FY2025</t>
  </si>
  <si>
    <t>Revenue Growth FY2026</t>
  </si>
  <si>
    <t>Revenue Growth FY2027</t>
  </si>
  <si>
    <t>Revenue Growth FY2028</t>
  </si>
  <si>
    <t>Revenue Growth FY2029</t>
  </si>
  <si>
    <t>Operating Margin FY2025</t>
  </si>
  <si>
    <t>Operating Margin FY2026</t>
  </si>
  <si>
    <t>Operating Margin FY2027</t>
  </si>
  <si>
    <t>Operating Margin FY2028</t>
  </si>
  <si>
    <t>Operating Margin FY2029</t>
  </si>
  <si>
    <t>Tax Rate</t>
  </si>
  <si>
    <t>D&amp;A % of Revenue</t>
  </si>
  <si>
    <t>Capex % of Revenue</t>
  </si>
  <si>
    <t>Change in NWC % of Revenue</t>
  </si>
  <si>
    <t>WACC</t>
  </si>
  <si>
    <t>Terminal Growth Rate</t>
  </si>
  <si>
    <t xml:space="preserve">Affirm Holdings, Inc. - Forecast Assumptions	</t>
  </si>
  <si>
    <t>Pulled from Raw_10K_Extract: GMV</t>
  </si>
  <si>
    <t>Pulled from Raw_10K_Extract: Revenue</t>
  </si>
  <si>
    <t>Pulled from Raw_10K_Extract: Operating Income / Loss</t>
  </si>
  <si>
    <t>Pulled from Raw_10K_Extract: Net Income / Loss</t>
  </si>
  <si>
    <t>Pulled from Raw_10K_Extract: Free Cash Flow</t>
  </si>
  <si>
    <t>Pulled from Raw_10K_Extract: Active Consumers</t>
  </si>
  <si>
    <t>Pulled from Raw_10K_Extract: Transactions per Active Consumer</t>
  </si>
  <si>
    <t>Pulled from Raw_10K_Extract: Loans Held for Investment, Net</t>
  </si>
  <si>
    <t>Pulled from Raw_10K_Extract: Total Assets</t>
  </si>
  <si>
    <t>Pulled from Raw_10K_Extract: Total Liabilities</t>
  </si>
  <si>
    <t>Pulled from Raw_10K_Extract: Total Stockholders' Equity</t>
  </si>
  <si>
    <t>FY2023 = FY2023 GMV / FY2022 GMV - 1; FY2024 = FY2024 GMV / FY2023 GMV - 1</t>
  </si>
  <si>
    <t>FY2023 = FY2023 Revenue / FY2022 Revenue - 1; FY2024 = FY2024 Revenue / FY2023 Revenue - 1</t>
  </si>
  <si>
    <t>Operating Income / Loss / Revenue</t>
  </si>
  <si>
    <t>Net Income / Loss / Revenue</t>
  </si>
  <si>
    <t>FY2023 = FY2023 Active Consumers / FY2022 Active Consumers - 1; FY2024 = FY2024 Active Consumers / FY2023 Active Consumers - 1</t>
  </si>
  <si>
    <t>Total Liabilities / Total Assets</t>
  </si>
  <si>
    <t>Total Stockholders' Equity / Total Assets</t>
  </si>
  <si>
    <t>FY2024A</t>
  </si>
  <si>
    <t>FY2025F</t>
  </si>
  <si>
    <t>FY2026F</t>
  </si>
  <si>
    <t>FY2027F</t>
  </si>
  <si>
    <t>FY2028F</t>
  </si>
  <si>
    <t>FY2029F</t>
  </si>
  <si>
    <t>Tax Expense</t>
  </si>
  <si>
    <t>NOPAT</t>
  </si>
  <si>
    <t>D&amp;A</t>
  </si>
  <si>
    <t>Capex</t>
  </si>
  <si>
    <t>Change in NWC</t>
  </si>
  <si>
    <t xml:space="preserve">Affirm Holdings, Inc. - Forecast Model	</t>
  </si>
  <si>
    <t>Terminal Value</t>
  </si>
  <si>
    <t>Discount Period</t>
  </si>
  <si>
    <t>Discount Factor</t>
  </si>
  <si>
    <t>PV of Free Cash Flow</t>
  </si>
  <si>
    <t>PV of Terminal Value</t>
  </si>
  <si>
    <t>Enterprise Value</t>
  </si>
  <si>
    <t xml:space="preserve">Affirm Holdings, Inc. - DCF Valuation	</t>
  </si>
  <si>
    <t>FY2022 Actual</t>
  </si>
  <si>
    <t>Budget Assumption</t>
  </si>
  <si>
    <t>FY2023 Budget</t>
  </si>
  <si>
    <t>FY2023 Actual</t>
  </si>
  <si>
    <t>Variance $ / pts</t>
  </si>
  <si>
    <t>Variance %</t>
  </si>
  <si>
    <t>Actual GMV compared with budgeted platform volume</t>
  </si>
  <si>
    <t>Actual revenue compared with budgeted revenue</t>
  </si>
  <si>
    <t>For expenses, lower than budget is favorable</t>
  </si>
  <si>
    <t>10% improvement</t>
  </si>
  <si>
    <t>Operating loss should narrow versus budget</t>
  </si>
  <si>
    <t>Net loss should narrow versus budget</t>
  </si>
  <si>
    <t>5% improvement</t>
  </si>
  <si>
    <t>Free cash flow should improve versus budget</t>
  </si>
  <si>
    <t>Actual active consumers compared with budgeted consumer growth</t>
  </si>
  <si>
    <t xml:space="preserve">Affirm Holdings, Inc. - Variance Analysis	</t>
  </si>
  <si>
    <t>FY2029 Revenue</t>
  </si>
  <si>
    <t>Revenue outcome under each scenario</t>
  </si>
  <si>
    <t>FY2029 Operating Margin %</t>
  </si>
  <si>
    <t>Profitability assumption by scenario</t>
  </si>
  <si>
    <t>FY2029 Operating Income</t>
  </si>
  <si>
    <t>Revenue × operating margin</t>
  </si>
  <si>
    <t>FY2029 Free Cash Flow</t>
  </si>
  <si>
    <t>Cash generation after reinvestment</t>
  </si>
  <si>
    <t>Discount rate / business risk</t>
  </si>
  <si>
    <t>Long-term growth assumption</t>
  </si>
  <si>
    <t>DCF Enterprise Value</t>
  </si>
  <si>
    <t>Estimated value under each case</t>
  </si>
  <si>
    <t>Scenario View</t>
  </si>
  <si>
    <t>Bull case assumes faster profitability</t>
  </si>
  <si>
    <t>Bear case assumes weak margin recovery</t>
  </si>
  <si>
    <t>Shows valuation sensitivity to assumptions</t>
  </si>
  <si>
    <t>Base case shows delayed free cash flow recovery</t>
  </si>
  <si>
    <t>Affirm</t>
  </si>
  <si>
    <t>Klarna</t>
  </si>
  <si>
    <t>Industry / Benchmark</t>
  </si>
  <si>
    <t>BNPL peers vary widely</t>
  </si>
  <si>
    <t>Klarna is much larger by transaction volume</t>
  </si>
  <si>
    <t>Affirm GMV in USD billions; Klarna approximate FY2024 GMV in USD billions</t>
  </si>
  <si>
    <t>Revenue scale depends on business model</t>
  </si>
  <si>
    <t>Klarna has larger revenue scale, but comparison is directional</t>
  </si>
  <si>
    <t>Affirm revenue in USD billions; Klarna approximate FY2024 revenue in USD billions</t>
  </si>
  <si>
    <t>3% - 9% range</t>
  </si>
  <si>
    <t>Affirm monetizes GMV at a higher rate than Klarna</t>
  </si>
  <si>
    <t>Lower is better</t>
  </si>
  <si>
    <t>Affirm credit loss rate appears higher on this simplified comparison</t>
  </si>
  <si>
    <t>Credit loss / GMV</t>
  </si>
  <si>
    <t>Positive margin is stronger</t>
  </si>
  <si>
    <t>Klarna was closer to operating break-even than Affirm</t>
  </si>
  <si>
    <t>Operating income / revenue</t>
  </si>
  <si>
    <t>Scale differs significantly</t>
  </si>
  <si>
    <t>Klarna has a much larger consumer base</t>
  </si>
  <si>
    <t>Affirm in millions; Klarna approximate active consumers in millions</t>
  </si>
  <si>
    <t>Merchant network size matters</t>
  </si>
  <si>
    <t>Klarna has broader merchant reach</t>
  </si>
  <si>
    <t>Affirm and Klarna in thousands</t>
  </si>
  <si>
    <t>Reporting Basis</t>
  </si>
  <si>
    <t>US GAAP</t>
  </si>
  <si>
    <t>IFRS</t>
  </si>
  <si>
    <t>Not directly comparable</t>
  </si>
  <si>
    <t>Accounting differences limit direct comparison</t>
  </si>
  <si>
    <t>Use as directional benchmark only</t>
  </si>
  <si>
    <t>Currency</t>
  </si>
  <si>
    <t>USD</t>
  </si>
  <si>
    <t>Mostly SEK / USD disclosed</t>
  </si>
  <si>
    <t>Convert carefully</t>
  </si>
  <si>
    <t>Currency differences can distort comparison</t>
  </si>
  <si>
    <t>Do not mix without clear notes</t>
  </si>
  <si>
    <t xml:space="preserve">Affirm Holdings, Inc. - Scenario Analysis	</t>
  </si>
  <si>
    <t xml:space="preserve">Affirm Holdings, Inc. - Benchmark	</t>
  </si>
  <si>
    <t>USD billions / ratios</t>
  </si>
  <si>
    <r>
      <rPr>
        <b/>
        <i/>
        <sz val="11.5"/>
        <color theme="1"/>
        <rFont val="Aptos Narrow"/>
        <family val="2"/>
        <scheme val="minor"/>
      </rPr>
      <t>Benchmarking limitation:</t>
    </r>
    <r>
      <rPr>
        <i/>
        <sz val="11.5"/>
        <color theme="1"/>
        <rFont val="Aptos Narrow"/>
        <family val="2"/>
        <scheme val="minor"/>
      </rPr>
      <t xml:space="preserve"> Klarna is included only as a directional peer benchmark. Direct comparison is limited because Affirm reports under US GAAP in USD, while Klarna reports under IFRS and has different revenue recognition, funding structure, product mix, and currency presentation.</t>
    </r>
  </si>
  <si>
    <t>Metric / Finding</t>
  </si>
  <si>
    <t>FY2024 / Forecast</t>
  </si>
  <si>
    <t>Analyst Interpretation</t>
  </si>
  <si>
    <t>Affirm’s platform volume scaled strongly from FY2022 to FY2024.</t>
  </si>
  <si>
    <t>Revenue accelerated in FY2024, growing faster than GMV.</t>
  </si>
  <si>
    <t>Take rate recovered in FY2024 after compression in FY2023.</t>
  </si>
  <si>
    <t>Credit loss rate remained relatively controlled but needs monitoring.</t>
  </si>
  <si>
    <t>Operating margin improved sharply in FY2024 but remains negative.</t>
  </si>
  <si>
    <t>Net loss narrowed significantly in FY2024.</t>
  </si>
  <si>
    <t>Free cash flow remained negative despite revenue growth.</t>
  </si>
  <si>
    <t>Active consumer base continued expanding.</t>
  </si>
  <si>
    <t>Engagement</t>
  </si>
  <si>
    <t>Customer engagement improved year over year.</t>
  </si>
  <si>
    <t>Balance sheet leverage increased.</t>
  </si>
  <si>
    <t>Forecast</t>
  </si>
  <si>
    <t>Base Case FY2029 Revenue</t>
  </si>
  <si>
    <t>Base Case assumes revenue reaches approximately $5.0B by FY2029.</t>
  </si>
  <si>
    <t>Base Case FY2029 Free Cash Flow</t>
  </si>
  <si>
    <t>Base Case turns free-cash-flow positive by FY2029.</t>
  </si>
  <si>
    <t>Valuation</t>
  </si>
  <si>
    <t>Base Case DCF Enterprise Value</t>
  </si>
  <si>
    <t>DCF remains negative under Base Case due to near-term cash burn.</t>
  </si>
  <si>
    <t>Scenario</t>
  </si>
  <si>
    <t>Bull Case DCF Enterprise Value</t>
  </si>
  <si>
    <t>Bull Case creates positive value through stronger growth and margin expansion.</t>
  </si>
  <si>
    <t>Bear Case DCF Enterprise Value</t>
  </si>
  <si>
    <t>Bear Case shows downside risk if profitability recovery is weak.</t>
  </si>
  <si>
    <t xml:space="preserve">Affirm Holdings, Inc. - Executive Output Summary	</t>
  </si>
  <si>
    <t>Executive Conclusion:</t>
  </si>
  <si>
    <t>1. Affirm scaled strongly from FY2022 to FY2024, with GMV rising from $15.5B to $26.6B and revenue increasing from $1.3B to $2.3B. Revenue growth accelerated in FY2024, and operating margin improved sharply as losses narrowed. However, the company remains unprofitable and free-cash-flow negative, while leverage increased over the same period.</t>
  </si>
  <si>
    <t>2. The Base Case forecast assumes gradual revenue growth normalization and margin improvement, with Affirm turning free-cash-flow positive by FY2029. The DCF valuation remains negative in the Base Case because near-term cash burn offsets terminal value. The Bull Case shows meaningful upside if Affirm achieves faster profitability and stronger free cash flow recovery, while the Bear Case highlights downside risk from weak margins, higher risk, and slower growth.</t>
  </si>
  <si>
    <t>3. Overall, Affirm appears to be a high-growth fintech platform with improving operating leverage, but its long-term value depends on sustained revenue growth, disciplined credit risk management, margin expansion, and free cash flow recovery.</t>
  </si>
  <si>
    <t>Financial Modeling Summary</t>
  </si>
  <si>
    <t>USD millions / ratios; GMV shown in USD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</si>
</sst>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18"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Leelawadee UI"/>
      <family val="2"/>
    </font>
    <font>
      <b/>
      <sz val="12"/>
      <color theme="1"/>
      <name val="Arial Black"/>
      <family val="2"/>
    </font>
    <font>
      <b/>
      <sz val="11"/>
      <name val="Aptos Narrow"/>
      <family val="2"/>
      <scheme val="minor"/>
    </font>
    <font>
      <sz val="11"/>
      <name val="Aptos Narrow"/>
      <family val="2"/>
      <scheme val="minor"/>
    </font>
    <font>
      <sz val="11"/>
      <color theme="1"/>
      <name val="Comic Sans MS"/>
      <family val="4"/>
    </font>
    <font>
      <i/>
      <sz val="11"/>
      <color theme="1"/>
      <name val="Aptos Narrow"/>
      <family val="2"/>
      <scheme val="minor"/>
    </font>
    <font>
      <b/>
      <i/>
      <sz val="11.5"/>
      <color theme="1"/>
      <name val="Aptos Narrow"/>
      <family val="2"/>
      <scheme val="minor"/>
    </font>
    <font>
      <i/>
      <sz val="11.5"/>
      <color theme="1"/>
      <name val="Aptos Narrow"/>
      <family val="2"/>
      <scheme val="minor"/>
    </font>
    <font>
      <sz val="11.5"/>
      <color theme="1"/>
      <name val="Aptos Narrow"/>
      <family val="2"/>
      <scheme val="minor"/>
    </font>
    <font>
      <b/>
      <sz val="14"/>
      <color theme="1"/>
      <name val="Constantia"/>
      <family val="1"/>
    </font>
    <font>
      <i/>
      <sz val="10"/>
      <color theme="1"/>
      <name val="Aptos"/>
      <family val="2"/>
    </font>
    <font>
      <i/>
      <sz val="11"/>
      <color theme="1"/>
      <name val="Comic Sans MS"/>
      <family val="4"/>
    </font>
    <font>
      <b/>
      <sz val="11"/>
      <color theme="1" tint="4.9989318521683403E-2"/>
      <name val="Aptos Narrow"/>
      <family val="2"/>
      <scheme val="minor"/>
    </font>
    <font>
      <sz val="10"/>
      <color theme="1"/>
      <name val="Aptos"/>
      <family val="2"/>
    </font>
  </fonts>
  <fills count="12">
    <fill>
      <patternFill patternType="none"/>
    </fill>
    <fill>
      <patternFill patternType="gray125"/>
    </fill>
    <fill>
      <patternFill patternType="solid">
        <fgColor rgb="FFFFFF00"/>
        <bgColor indexed="64"/>
      </patternFill>
    </fill>
    <fill>
      <patternFill patternType="solid">
        <fgColor theme="1"/>
        <bgColor theme="1"/>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A7A7"/>
        <bgColor indexed="64"/>
      </patternFill>
    </fill>
    <fill>
      <patternFill patternType="solid">
        <fgColor theme="0" tint="-0.14999847407452621"/>
        <bgColor indexed="64"/>
      </patternFill>
    </fill>
    <fill>
      <patternFill patternType="solid">
        <fgColor theme="1"/>
        <bgColor indexed="64"/>
      </patternFill>
    </fill>
    <fill>
      <patternFill patternType="solid">
        <fgColor theme="5" tint="0.79998168889431442"/>
        <bgColor indexed="64"/>
      </patternFill>
    </fill>
  </fills>
  <borders count="10">
    <border>
      <left/>
      <right/>
      <top/>
      <bottom/>
      <diagonal/>
    </border>
    <border>
      <left style="thin">
        <color theme="1"/>
      </left>
      <right/>
      <top/>
      <bottom/>
      <diagonal/>
    </border>
    <border>
      <left/>
      <right style="thin">
        <color theme="1"/>
      </right>
      <top/>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2" fillId="3" borderId="2"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right" vertical="center"/>
    </xf>
    <xf numFmtId="0" fontId="6" fillId="0" borderId="0" xfId="0" applyFont="1" applyAlignment="1">
      <alignment horizontal="center" vertical="center"/>
    </xf>
    <xf numFmtId="0" fontId="0" fillId="0" borderId="0" xfId="0" applyAlignment="1">
      <alignment vertical="center"/>
    </xf>
    <xf numFmtId="10" fontId="0" fillId="0" borderId="0" xfId="0" applyNumberFormat="1"/>
    <xf numFmtId="0" fontId="7" fillId="0" borderId="0" xfId="0" applyFont="1" applyAlignment="1">
      <alignment vertical="center"/>
    </xf>
    <xf numFmtId="0" fontId="7" fillId="0" borderId="0" xfId="0" applyFont="1" applyAlignment="1">
      <alignment horizontal="right" vertical="center"/>
    </xf>
    <xf numFmtId="0" fontId="7" fillId="0" borderId="0" xfId="0" applyFont="1" applyAlignment="1">
      <alignment horizontal="center" vertical="center"/>
    </xf>
    <xf numFmtId="0" fontId="7" fillId="0" borderId="0" xfId="0" applyFont="1" applyAlignment="1">
      <alignment vertical="center" wrapText="1"/>
    </xf>
    <xf numFmtId="0" fontId="7" fillId="0" borderId="0" xfId="0" applyFont="1" applyAlignment="1">
      <alignment horizontal="right" vertical="center" wrapText="1"/>
    </xf>
    <xf numFmtId="0" fontId="7" fillId="0" borderId="0" xfId="0" applyFont="1" applyAlignment="1">
      <alignment horizontal="center" vertical="center" wrapText="1"/>
    </xf>
    <xf numFmtId="0" fontId="0" fillId="2" borderId="0" xfId="0" applyFill="1"/>
    <xf numFmtId="0" fontId="7" fillId="4" borderId="0" xfId="0" applyFont="1" applyFill="1" applyAlignment="1">
      <alignment horizontal="right" vertical="center"/>
    </xf>
    <xf numFmtId="0" fontId="0" fillId="0" borderId="0" xfId="0" applyAlignment="1">
      <alignment horizontal="center"/>
    </xf>
    <xf numFmtId="0" fontId="0" fillId="0" borderId="0" xfId="0" applyAlignment="1">
      <alignment horizontal="left"/>
    </xf>
    <xf numFmtId="0" fontId="7" fillId="0" borderId="0" xfId="0" applyFont="1" applyAlignment="1">
      <alignment horizontal="left" vertical="center"/>
    </xf>
    <xf numFmtId="0" fontId="7" fillId="0" borderId="0" xfId="0" applyFont="1" applyAlignment="1">
      <alignment horizontal="left" vertical="center" wrapText="1"/>
    </xf>
    <xf numFmtId="0" fontId="7" fillId="4" borderId="0" xfId="0" applyFont="1" applyFill="1" applyAlignment="1">
      <alignment horizontal="right" vertical="center" wrapText="1"/>
    </xf>
    <xf numFmtId="0" fontId="6" fillId="0" borderId="0" xfId="0" applyFont="1" applyAlignment="1">
      <alignment horizontal="left" vertical="center"/>
    </xf>
    <xf numFmtId="0" fontId="6" fillId="4" borderId="0" xfId="0" applyFont="1" applyFill="1" applyAlignment="1">
      <alignment horizontal="right" vertical="center"/>
    </xf>
    <xf numFmtId="0" fontId="6" fillId="0" borderId="0" xfId="0"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3" fillId="0" borderId="0" xfId="0" applyFont="1"/>
    <xf numFmtId="0" fontId="6" fillId="0" borderId="4" xfId="0" applyFont="1" applyBorder="1" applyAlignment="1">
      <alignment vertical="center"/>
    </xf>
    <xf numFmtId="0" fontId="6" fillId="0" borderId="4" xfId="0" applyFont="1" applyBorder="1" applyAlignment="1">
      <alignment horizontal="right" vertical="center"/>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6" fillId="4" borderId="4" xfId="0" applyFont="1" applyFill="1" applyBorder="1" applyAlignment="1">
      <alignment horizontal="right" vertical="center"/>
    </xf>
    <xf numFmtId="0" fontId="6" fillId="0" borderId="4" xfId="0" applyFont="1" applyBorder="1" applyAlignment="1">
      <alignment vertical="center" wrapText="1"/>
    </xf>
    <xf numFmtId="0" fontId="6" fillId="0" borderId="4" xfId="0" applyFont="1" applyBorder="1" applyAlignment="1">
      <alignment horizontal="right"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164" fontId="0" fillId="0" borderId="0" xfId="0" applyNumberFormat="1"/>
    <xf numFmtId="0" fontId="7" fillId="0" borderId="3" xfId="0" applyFont="1" applyBorder="1" applyAlignment="1">
      <alignment vertical="center" wrapText="1"/>
    </xf>
    <xf numFmtId="9" fontId="0" fillId="0" borderId="0" xfId="1" applyFont="1"/>
    <xf numFmtId="165" fontId="0" fillId="0" borderId="0" xfId="1" applyNumberFormat="1" applyFont="1"/>
    <xf numFmtId="0" fontId="3" fillId="0" borderId="4" xfId="0" applyFont="1" applyBorder="1"/>
    <xf numFmtId="0" fontId="0" fillId="0" borderId="4" xfId="0" applyBorder="1"/>
    <xf numFmtId="0" fontId="8" fillId="0" borderId="0" xfId="0" applyFont="1" applyAlignment="1">
      <alignment horizontal="center"/>
    </xf>
    <xf numFmtId="0" fontId="3" fillId="0" borderId="3" xfId="0" applyFont="1" applyBorder="1" applyAlignment="1">
      <alignment horizontal="center" vertical="center"/>
    </xf>
    <xf numFmtId="9" fontId="0" fillId="0" borderId="4" xfId="1" applyFont="1" applyBorder="1"/>
    <xf numFmtId="165" fontId="3" fillId="0" borderId="4" xfId="1" applyNumberFormat="1" applyFont="1" applyBorder="1"/>
    <xf numFmtId="9" fontId="0" fillId="0" borderId="0" xfId="0" applyNumberFormat="1"/>
    <xf numFmtId="166" fontId="0" fillId="0" borderId="0" xfId="1" applyNumberFormat="1" applyFont="1"/>
    <xf numFmtId="166" fontId="0" fillId="0" borderId="0" xfId="0" applyNumberFormat="1"/>
    <xf numFmtId="166" fontId="3" fillId="0" borderId="0" xfId="0" applyNumberFormat="1" applyFont="1"/>
    <xf numFmtId="0" fontId="3" fillId="0" borderId="5" xfId="0" applyFont="1" applyBorder="1" applyAlignment="1">
      <alignment horizontal="center" vertical="center"/>
    </xf>
    <xf numFmtId="0" fontId="3" fillId="2" borderId="3" xfId="0" applyFont="1" applyFill="1" applyBorder="1" applyAlignment="1">
      <alignment horizontal="center" vertical="center"/>
    </xf>
    <xf numFmtId="165" fontId="3" fillId="0" borderId="0" xfId="1" applyNumberFormat="1" applyFont="1"/>
    <xf numFmtId="10" fontId="3" fillId="0" borderId="4" xfId="0" applyNumberFormat="1" applyFont="1" applyBorder="1"/>
    <xf numFmtId="0" fontId="8" fillId="0" borderId="0" xfId="0" applyFont="1" applyAlignment="1">
      <alignment horizontal="center" vertical="center"/>
    </xf>
    <xf numFmtId="0" fontId="3" fillId="0" borderId="3" xfId="0" applyFont="1" applyBorder="1" applyAlignment="1">
      <alignment horizontal="center"/>
    </xf>
    <xf numFmtId="0" fontId="3" fillId="0" borderId="3" xfId="0" applyFont="1" applyBorder="1"/>
    <xf numFmtId="164" fontId="3" fillId="0" borderId="0" xfId="0" applyNumberFormat="1" applyFont="1"/>
    <xf numFmtId="0" fontId="0" fillId="5" borderId="0" xfId="0" applyFill="1"/>
    <xf numFmtId="9" fontId="3" fillId="0" borderId="0" xfId="0" applyNumberFormat="1" applyFont="1"/>
    <xf numFmtId="165" fontId="0" fillId="0" borderId="0" xfId="0" applyNumberFormat="1"/>
    <xf numFmtId="0" fontId="3" fillId="6" borderId="0" xfId="0" applyFont="1" applyFill="1"/>
    <xf numFmtId="9" fontId="0" fillId="6" borderId="0" xfId="0" applyNumberFormat="1" applyFill="1"/>
    <xf numFmtId="0" fontId="0" fillId="6" borderId="0" xfId="0" applyFill="1"/>
    <xf numFmtId="0" fontId="3" fillId="7" borderId="0" xfId="0" applyFont="1" applyFill="1"/>
    <xf numFmtId="9" fontId="0" fillId="7" borderId="0" xfId="0" applyNumberFormat="1" applyFill="1"/>
    <xf numFmtId="0" fontId="0" fillId="7" borderId="0" xfId="0" applyFill="1"/>
    <xf numFmtId="0" fontId="3" fillId="8" borderId="0" xfId="0" applyFont="1" applyFill="1"/>
    <xf numFmtId="9" fontId="0" fillId="8" borderId="0" xfId="0" applyNumberFormat="1" applyFill="1"/>
    <xf numFmtId="0" fontId="0" fillId="8" borderId="0" xfId="0" applyFill="1"/>
    <xf numFmtId="1" fontId="0" fillId="0" borderId="0" xfId="0" applyNumberFormat="1"/>
    <xf numFmtId="0" fontId="9" fillId="9" borderId="0" xfId="0" applyFont="1" applyFill="1"/>
    <xf numFmtId="0" fontId="0" fillId="0" borderId="3" xfId="0" applyBorder="1" applyAlignment="1">
      <alignment horizontal="center" vertical="center"/>
    </xf>
    <xf numFmtId="0" fontId="13" fillId="0" borderId="0" xfId="0" applyFont="1" applyAlignment="1">
      <alignment horizontal="center" vertical="center"/>
    </xf>
    <xf numFmtId="0" fontId="2" fillId="10" borderId="3" xfId="0" applyFont="1" applyFill="1" applyBorder="1" applyAlignment="1">
      <alignment horizontal="center" vertical="center"/>
    </xf>
    <xf numFmtId="0" fontId="3" fillId="0" borderId="0" xfId="0" applyFont="1" applyAlignment="1">
      <alignment horizontal="left" vertical="center"/>
    </xf>
    <xf numFmtId="0" fontId="3" fillId="6" borderId="0" xfId="0" applyFont="1" applyFill="1" applyAlignment="1">
      <alignment horizontal="left" vertical="center"/>
    </xf>
    <xf numFmtId="0" fontId="3" fillId="7" borderId="0" xfId="0" applyFont="1" applyFill="1" applyAlignment="1">
      <alignment horizontal="left" vertical="center"/>
    </xf>
    <xf numFmtId="0" fontId="3" fillId="8" borderId="0" xfId="0" applyFont="1" applyFill="1" applyAlignment="1">
      <alignment horizontal="left" vertical="center"/>
    </xf>
    <xf numFmtId="0" fontId="3" fillId="11" borderId="0" xfId="0" applyFont="1" applyFill="1"/>
    <xf numFmtId="0" fontId="9" fillId="0" borderId="0" xfId="0" applyFont="1" applyAlignment="1">
      <alignment horizontal="right" vertical="center"/>
    </xf>
    <xf numFmtId="0" fontId="14" fillId="0" borderId="6" xfId="0" applyFont="1" applyBorder="1" applyAlignment="1">
      <alignment horizontal="right" vertical="center"/>
    </xf>
    <xf numFmtId="0" fontId="15" fillId="0" borderId="0" xfId="0" applyFont="1" applyAlignment="1">
      <alignment horizontal="center"/>
    </xf>
    <xf numFmtId="0" fontId="14" fillId="0" borderId="0" xfId="0" applyFont="1" applyAlignment="1">
      <alignment horizontal="right" vertical="center"/>
    </xf>
    <xf numFmtId="0" fontId="11"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0" fillId="0" borderId="4" xfId="0" applyFont="1" applyBorder="1"/>
    <xf numFmtId="0" fontId="12" fillId="0" borderId="4" xfId="0" applyFont="1" applyBorder="1"/>
    <xf numFmtId="0" fontId="0" fillId="0" borderId="0" xfId="0"/>
    <xf numFmtId="0" fontId="0" fillId="0" borderId="8" xfId="0" applyBorder="1" applyAlignment="1">
      <alignment horizontal="left" vertical="top" wrapText="1"/>
    </xf>
    <xf numFmtId="0" fontId="0" fillId="0" borderId="9" xfId="0"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11" fillId="0" borderId="7" xfId="0"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6" fillId="0" borderId="3" xfId="0" applyFont="1" applyBorder="1" applyAlignment="1">
      <alignment horizontal="center" vertical="center"/>
    </xf>
    <xf numFmtId="0" fontId="16" fillId="6" borderId="3" xfId="0" applyFont="1" applyFill="1" applyBorder="1" applyAlignment="1">
      <alignment horizontal="center" vertical="center"/>
    </xf>
    <xf numFmtId="0" fontId="16" fillId="7" borderId="3" xfId="0" applyFont="1" applyFill="1" applyBorder="1" applyAlignment="1">
      <alignment horizontal="center" vertical="center"/>
    </xf>
    <xf numFmtId="0" fontId="16" fillId="8" borderId="3" xfId="0" applyFont="1" applyFill="1" applyBorder="1" applyAlignment="1">
      <alignment horizontal="center" vertical="center"/>
    </xf>
    <xf numFmtId="0" fontId="8" fillId="0" borderId="0" xfId="0" applyFont="1" applyAlignment="1">
      <alignment horizontal="center" vertical="center"/>
    </xf>
    <xf numFmtId="0" fontId="14" fillId="0" borderId="0" xfId="0" applyFont="1" applyBorder="1" applyAlignment="1">
      <alignment horizontal="right" vertical="center"/>
    </xf>
    <xf numFmtId="0" fontId="0" fillId="0" borderId="0" xfId="0" applyAlignment="1">
      <alignment wrapText="1"/>
    </xf>
    <xf numFmtId="0" fontId="9" fillId="9" borderId="0" xfId="0" applyFont="1" applyFill="1" applyAlignment="1">
      <alignment wrapText="1"/>
    </xf>
    <xf numFmtId="0" fontId="17" fillId="0" borderId="0" xfId="0" applyFont="1"/>
  </cellXfs>
  <cellStyles count="2">
    <cellStyle name="Normal" xfId="0" builtinId="0"/>
    <cellStyle name="Percent" xfId="1" builtinId="5"/>
  </cellStyles>
  <dxfs count="30">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border outline="0">
        <bottom style="thin">
          <color indexed="64"/>
        </bottom>
      </border>
    </dxf>
    <dxf>
      <font>
        <strike val="0"/>
        <outline val="0"/>
        <shadow val="0"/>
        <u val="none"/>
        <vertAlign val="baseline"/>
        <sz val="11"/>
        <color theme="1" tint="4.9989318521683403E-2"/>
        <name val="Aptos Narrow"/>
        <family val="2"/>
        <scheme val="minor"/>
      </font>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5" formatCode="0.0%"/>
    </dxf>
    <dxf>
      <border outline="0">
        <bottom style="thin">
          <color indexed="64"/>
        </bottom>
      </border>
    </dxf>
    <dxf>
      <alignment horizontal="general" vertical="bottom" textRotation="0" wrapText="0" indent="0" justifyLastLine="0" shrinkToFit="0" readingOrder="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right"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right"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right"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general" vertical="center" textRotation="0" wrapText="1" indent="0" justifyLastLine="0" shrinkToFit="0" readingOrder="0"/>
    </dxf>
    <dxf>
      <border outline="0">
        <top style="thin">
          <color theme="1"/>
        </top>
      </border>
    </dxf>
    <dxf>
      <font>
        <b val="0"/>
        <i val="0"/>
        <strike val="0"/>
        <condense val="0"/>
        <extend val="0"/>
        <outline val="0"/>
        <shadow val="0"/>
        <u val="none"/>
        <vertAlign val="baseline"/>
        <sz val="11"/>
        <color theme="0"/>
        <name val="Aptos Narrow"/>
        <family val="2"/>
        <scheme val="minor"/>
      </font>
      <fill>
        <patternFill patternType="none">
          <fgColor theme="1"/>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1"/>
          <bgColor theme="1"/>
        </patternFill>
      </fill>
      <alignment horizontal="center" vertical="center" textRotation="0" wrapText="1" indent="0" justifyLastLine="0" shrinkToFit="0" readingOrder="0"/>
    </dxf>
  </dxfs>
  <tableStyles count="0" defaultTableStyle="TableStyleMedium2" defaultPivotStyle="PivotStyleLight16"/>
  <colors>
    <mruColors>
      <color rgb="FFFFA7A7"/>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9C36E6-220A-4AE0-91FB-DF4B88C8F5A1}" name="tbl_raw_10k_extractTable7" displayName="tbl_raw_10k_extractTable7" ref="A1:I65" insertRowShift="1" totalsRowShown="0" headerRowDxfId="29" dataDxfId="28" tableBorderDxfId="27">
  <autoFilter ref="A1:I65" xr:uid="{C59C36E6-220A-4AE0-91FB-DF4B88C8F5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59C92BD-A316-4928-A7DA-E3A0F6E5CE01}" name="Statement" dataDxfId="26"/>
    <tableColumn id="2" xr3:uid="{116582C4-D399-4CA0-AF5E-0267126F1189}" name="Section" dataDxfId="25"/>
    <tableColumn id="3" xr3:uid="{883632E8-F668-4621-811D-C8FA0C29BEA6}" name="Metric" dataDxfId="24"/>
    <tableColumn id="4" xr3:uid="{3B168669-6178-4656-92EB-1FD8AB6DDCA9}" name="FY2022" dataDxfId="23"/>
    <tableColumn id="5" xr3:uid="{3A4BFA7F-E7D5-42D4-B2BA-9303EDEFC1F7}" name="FY2023" dataDxfId="22"/>
    <tableColumn id="6" xr3:uid="{5ABEA5B2-FBFE-47E3-816E-8A2429CF6980}" name="FY2024" dataDxfId="21"/>
    <tableColumn id="7" xr3:uid="{6C9495A6-DCC8-47BA-8D81-C1EFD1F74FB0}" name="Unit" dataDxfId="20"/>
    <tableColumn id="8" xr3:uid="{54EDBA79-CC8F-4AEB-881F-996F48609C10}" name="Source Page" dataDxfId="19"/>
    <tableColumn id="9" xr3:uid="{288FF97B-083A-4282-A41D-867F37FF6773}" name="Note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C86AE03-0256-4761-A793-F22DA371A23F}" name="tbl_clean_financials" displayName="tbl_clean_financials" ref="A1:G22" totalsRowShown="0" headerRowDxfId="17">
  <autoFilter ref="A1:G22" xr:uid="{4C86AE03-0256-4761-A793-F22DA371A23F}"/>
  <tableColumns count="7">
    <tableColumn id="1" xr3:uid="{AFDCA1F6-F367-4FC5-86CA-ECF563A6D5F2}" name="Metric Category"/>
    <tableColumn id="2" xr3:uid="{32EFF352-FE41-407D-AD80-B9E099E421CB}" name="Metric"/>
    <tableColumn id="3" xr3:uid="{69376DDF-38A8-43F0-AA9C-3CF30A455912}" name="FY2022" dataDxfId="16">
      <calculatedColumnFormula>_xlfn.XLOOKUP($B2,Raw_10K_Extract!$C:$C,Raw_10K_Extract!$D:$D,"")</calculatedColumnFormula>
    </tableColumn>
    <tableColumn id="4" xr3:uid="{A3EF35D5-547B-4C5C-B847-EE33E313BC0A}" name="FY2023" dataDxfId="15">
      <calculatedColumnFormula>_xlfn.XLOOKUP($B2,Raw_10K_Extract!$C:$C,Raw_10K_Extract!$E:$E,"")</calculatedColumnFormula>
    </tableColumn>
    <tableColumn id="5" xr3:uid="{40B77F3D-06A1-4B80-BC8D-68D5D023084C}" name="FY2024" dataDxfId="14">
      <calculatedColumnFormula>_xlfn.XLOOKUP($B2,Raw_10K_Extract!$C:$C,Raw_10K_Extract!$F:$F,"")</calculatedColumnFormula>
    </tableColumn>
    <tableColumn id="6" xr3:uid="{6DEDD23A-1201-4EB7-BCF8-EC76E6F3366E}" name="Formula / Logic" dataDxfId="13"/>
    <tableColumn id="7" xr3:uid="{B1861751-1526-4628-AB71-3E9F658532F6}" name="Insight U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357F94-79EA-4416-A799-ADEEC9382DF4}" name="tbl_key_metrics" displayName="tbl_key_metrics" ref="A4:F18" totalsRowShown="0" headerRowDxfId="7" dataDxfId="8" headerRowBorderDxfId="12" dataCellStyle="Percent">
  <autoFilter ref="A4:F18" xr:uid="{71357F94-79EA-4416-A799-ADEEC9382DF4}"/>
  <tableColumns count="6">
    <tableColumn id="1" xr3:uid="{A05D06E9-3316-42F3-9AAE-FFF0E06124A3}" name="Metric"/>
    <tableColumn id="2" xr3:uid="{2142B9F4-204A-4FB3-A37E-CB4BE31A8624}" name="FY2022" dataDxfId="11" dataCellStyle="Percent"/>
    <tableColumn id="3" xr3:uid="{8869DF01-FF2C-45E9-8966-23DB5BF73595}" name="FY2023" dataDxfId="10" dataCellStyle="Percent"/>
    <tableColumn id="4" xr3:uid="{31D10E5D-26C3-46D0-A558-AE1B03394C3E}" name="FY2024" dataDxfId="9" dataCellStyle="Percent"/>
    <tableColumn id="5" xr3:uid="{91D16E7A-73E5-43E7-B50A-764DCF117193}" name="Trend">
      <calculatedColumnFormula>IF(A5="Active Consumer Growth %",IF(D5&lt;C5,"Slowing",IF(D5&gt;C5,"Accelerating","Stable")),IF(OR(A5="Credit Loss Rate %",A5="Debt-to-Assets %"),IF(D5&lt;C5,"Improving",IF(D5&gt;C5,"Worsening","Stable")),IF(D5&gt;C5,"Improving",IF(D5&lt;C5,"Worsening","Stable"))))</calculatedColumnFormula>
    </tableColumn>
    <tableColumn id="6" xr3:uid="{9D73C6AD-F390-49F0-B2C4-D030833ADFF3}" name="Interpret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07275-1320-4CFF-B723-D35BCAA81ACC}" name="tbl_forecast_model" displayName="tbl_forecast_model" ref="A4:G18" totalsRowShown="0" headerRowDxfId="5" headerRowBorderDxfId="6">
  <autoFilter ref="A4:G18" xr:uid="{91107275-1320-4CFF-B723-D35BCAA81ACC}"/>
  <tableColumns count="7">
    <tableColumn id="1" xr3:uid="{D5DADADE-82CD-45C6-8728-21D539809E39}" name="Line Item"/>
    <tableColumn id="2" xr3:uid="{2AE383C0-A10E-4132-8D1D-33797D073E19}" name="FY2024A"/>
    <tableColumn id="3" xr3:uid="{CFF2D463-9797-49C1-AD71-632566EE1007}" name="FY2025F"/>
    <tableColumn id="4" xr3:uid="{D9477D02-FF3F-4919-B713-0082858F029C}" name="FY2026F"/>
    <tableColumn id="5" xr3:uid="{F16187BE-4C5E-443D-88A9-0E527C8E67A8}" name="FY2027F"/>
    <tableColumn id="6" xr3:uid="{6810B376-15D5-4C08-AC87-09376665BC30}" name="FY2028F"/>
    <tableColumn id="7" xr3:uid="{CA124DCA-7865-4A5A-9498-3B3B9C4D2551}" name="FY2029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E46D10-E674-4AD2-86B0-9EFB69E319F6}" name="tbl_scenario_analysis" displayName="tbl_scenario_analysis" ref="A4:E12" totalsRowShown="0" headerRowDxfId="3" headerRowBorderDxfId="4">
  <autoFilter ref="A4:E12" xr:uid="{D6E46D10-E674-4AD2-86B0-9EFB69E319F6}"/>
  <tableColumns count="5">
    <tableColumn id="1" xr3:uid="{2F5D145F-3B0E-4648-AD0A-7E8F18D5BF94}" name="Metric"/>
    <tableColumn id="2" xr3:uid="{04D26EA1-D21F-4F52-8F0F-365B7FFA6FD3}" name="Base Case"/>
    <tableColumn id="3" xr3:uid="{2E39D6AA-AC89-459E-9434-417A0F4F2324}" name="Bull Case"/>
    <tableColumn id="4" xr3:uid="{C3CDE26A-6AA9-4E96-B14C-21B43629D53C}" name="Bear Case"/>
    <tableColumn id="5" xr3:uid="{48BE0376-64A5-4F46-A2BD-981D7C1837AC}" name="Interpretation"/>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56666A-E4DF-49BD-B834-36E23602A82C}" name="tbl_benchmark" displayName="tbl_benchmark" ref="A4:F13" totalsRowShown="0" headerRowDxfId="1" headerRowBorderDxfId="2">
  <autoFilter ref="A4:F13" xr:uid="{1156666A-E4DF-49BD-B834-36E23602A82C}"/>
  <tableColumns count="6">
    <tableColumn id="1" xr3:uid="{E53D90F2-075A-4E2D-A6BA-C2EAF52B611A}" name="Metric"/>
    <tableColumn id="2" xr3:uid="{2EFB5FCA-492C-4735-B835-46F6F79EBE2D}" name="Affirm"/>
    <tableColumn id="3" xr3:uid="{0ED713F2-0D11-4150-BE37-BFCF4A43D70C}" name="Klarna"/>
    <tableColumn id="4" xr3:uid="{F3EC387D-351E-4E28-9C43-94D0614BE23F}" name="Industry / Benchmark"/>
    <tableColumn id="5" xr3:uid="{3D5189F8-75C0-449D-9D0A-E74A3B310C73}" name="Interpretation"/>
    <tableColumn id="6" xr3:uid="{53D8C56C-DABC-4D6C-BEDF-E9D67ED7D999}"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6621-9817-4772-98D4-97B239C3C3C3}">
  <dimension ref="B1:C9"/>
  <sheetViews>
    <sheetView zoomScaleNormal="100" workbookViewId="0">
      <selection activeCell="C9" sqref="C9"/>
    </sheetView>
  </sheetViews>
  <sheetFormatPr defaultRowHeight="14.4" x14ac:dyDescent="0.3"/>
  <cols>
    <col min="2" max="2" width="32" customWidth="1"/>
    <col min="3" max="3" width="44.109375" customWidth="1"/>
  </cols>
  <sheetData>
    <row r="1" spans="2:3" ht="18.600000000000001" x14ac:dyDescent="0.3">
      <c r="B1" s="4" t="s">
        <v>0</v>
      </c>
      <c r="C1" s="4" t="s">
        <v>1</v>
      </c>
    </row>
    <row r="2" spans="2:3" ht="16.8" x14ac:dyDescent="0.3">
      <c r="B2" s="3" t="s">
        <v>2</v>
      </c>
      <c r="C2" s="3" t="s">
        <v>3</v>
      </c>
    </row>
    <row r="3" spans="2:3" ht="16.8" x14ac:dyDescent="0.3">
      <c r="B3" s="3" t="s">
        <v>4</v>
      </c>
      <c r="C3" s="3" t="s">
        <v>5</v>
      </c>
    </row>
    <row r="4" spans="2:3" ht="16.8" x14ac:dyDescent="0.3">
      <c r="B4" s="3" t="s">
        <v>6</v>
      </c>
      <c r="C4" s="3" t="s">
        <v>7</v>
      </c>
    </row>
    <row r="5" spans="2:3" ht="16.8" x14ac:dyDescent="0.3">
      <c r="B5" s="3" t="s">
        <v>8</v>
      </c>
      <c r="C5" s="3" t="s">
        <v>9</v>
      </c>
    </row>
    <row r="6" spans="2:3" ht="16.8" x14ac:dyDescent="0.3">
      <c r="B6" s="3" t="s">
        <v>10</v>
      </c>
      <c r="C6" s="3" t="s">
        <v>11</v>
      </c>
    </row>
    <row r="7" spans="2:3" ht="33.6" x14ac:dyDescent="0.3">
      <c r="B7" s="3" t="s">
        <v>12</v>
      </c>
      <c r="C7" s="3" t="s">
        <v>13</v>
      </c>
    </row>
    <row r="8" spans="2:3" ht="33.6" x14ac:dyDescent="0.3">
      <c r="B8" s="3" t="s">
        <v>14</v>
      </c>
      <c r="C8" s="3" t="s">
        <v>15</v>
      </c>
    </row>
    <row r="9" spans="2:3" ht="50.4" x14ac:dyDescent="0.3">
      <c r="B9" s="3" t="s">
        <v>16</v>
      </c>
      <c r="C9" s="3"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E03A0-9DBB-40B3-8A26-A67A25E85894}">
  <dimension ref="B1:F5"/>
  <sheetViews>
    <sheetView workbookViewId="0">
      <selection activeCell="F1" sqref="A1:F1"/>
    </sheetView>
  </sheetViews>
  <sheetFormatPr defaultRowHeight="14.4" x14ac:dyDescent="0.3"/>
  <cols>
    <col min="2" max="2" width="18" customWidth="1"/>
    <col min="3" max="3" width="23.88671875" customWidth="1"/>
    <col min="4" max="4" width="15.109375" customWidth="1"/>
    <col min="5" max="5" width="23.88671875" customWidth="1"/>
    <col min="6" max="6" width="14.6640625" customWidth="1"/>
  </cols>
  <sheetData>
    <row r="1" spans="2:6" x14ac:dyDescent="0.3">
      <c r="B1" s="1" t="s">
        <v>18</v>
      </c>
      <c r="C1" s="1" t="s">
        <v>19</v>
      </c>
      <c r="D1" s="1" t="s">
        <v>20</v>
      </c>
      <c r="E1" s="1" t="s">
        <v>21</v>
      </c>
      <c r="F1" s="1" t="s">
        <v>22</v>
      </c>
    </row>
    <row r="2" spans="2:6" ht="28.8" x14ac:dyDescent="0.3">
      <c r="B2" s="2" t="s">
        <v>23</v>
      </c>
      <c r="C2" s="2" t="s">
        <v>24</v>
      </c>
      <c r="D2" s="2" t="s">
        <v>25</v>
      </c>
      <c r="E2" s="2" t="s">
        <v>26</v>
      </c>
      <c r="F2" s="2" t="s">
        <v>27</v>
      </c>
    </row>
    <row r="3" spans="2:6" ht="28.8" x14ac:dyDescent="0.3">
      <c r="B3" s="2" t="s">
        <v>28</v>
      </c>
      <c r="C3" s="2" t="s">
        <v>29</v>
      </c>
      <c r="D3" s="2" t="s">
        <v>25</v>
      </c>
      <c r="E3" s="2" t="s">
        <v>26</v>
      </c>
      <c r="F3" s="2" t="s">
        <v>27</v>
      </c>
    </row>
    <row r="4" spans="2:6" ht="28.8" x14ac:dyDescent="0.3">
      <c r="B4" s="2" t="s">
        <v>30</v>
      </c>
      <c r="C4" s="2" t="s">
        <v>31</v>
      </c>
      <c r="D4" s="2" t="s">
        <v>25</v>
      </c>
      <c r="E4" s="2" t="s">
        <v>26</v>
      </c>
      <c r="F4" s="2" t="s">
        <v>27</v>
      </c>
    </row>
    <row r="5" spans="2:6" ht="28.8" x14ac:dyDescent="0.3">
      <c r="B5" s="2" t="s">
        <v>32</v>
      </c>
      <c r="C5" s="2" t="s">
        <v>33</v>
      </c>
      <c r="D5" s="2" t="s">
        <v>34</v>
      </c>
      <c r="E5" s="2" t="s">
        <v>35</v>
      </c>
      <c r="F5"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66E0-DB90-4174-8D9E-47CECD81B2A0}">
  <dimension ref="A1:S65"/>
  <sheetViews>
    <sheetView zoomScale="95" zoomScaleNormal="95" workbookViewId="0">
      <selection activeCell="D10" sqref="D10"/>
    </sheetView>
  </sheetViews>
  <sheetFormatPr defaultRowHeight="14.4" x14ac:dyDescent="0.3"/>
  <cols>
    <col min="1" max="1" width="18.44140625" customWidth="1"/>
    <col min="2" max="2" width="21.109375" customWidth="1"/>
    <col min="3" max="3" width="38.5546875" customWidth="1"/>
    <col min="4" max="4" width="12.44140625" customWidth="1"/>
    <col min="5" max="5" width="12.33203125" customWidth="1"/>
    <col min="6" max="6" width="12.5546875" customWidth="1"/>
    <col min="7" max="7" width="22.21875" customWidth="1"/>
    <col min="8" max="8" width="26.109375" customWidth="1"/>
    <col min="9" max="9" width="67" customWidth="1"/>
  </cols>
  <sheetData>
    <row r="1" spans="1:9" x14ac:dyDescent="0.3">
      <c r="A1" s="5" t="s">
        <v>36</v>
      </c>
      <c r="B1" s="6" t="s">
        <v>0</v>
      </c>
      <c r="C1" s="6" t="s">
        <v>37</v>
      </c>
      <c r="D1" s="6" t="s">
        <v>38</v>
      </c>
      <c r="E1" s="6" t="s">
        <v>39</v>
      </c>
      <c r="F1" s="6" t="s">
        <v>40</v>
      </c>
      <c r="G1" s="6" t="s">
        <v>41</v>
      </c>
      <c r="H1" s="6" t="s">
        <v>42</v>
      </c>
      <c r="I1" s="7" t="s">
        <v>43</v>
      </c>
    </row>
    <row r="2" spans="1:9" x14ac:dyDescent="0.3">
      <c r="A2" s="11" t="s">
        <v>48</v>
      </c>
      <c r="B2" s="11" t="s">
        <v>49</v>
      </c>
      <c r="C2" s="11" t="s">
        <v>44</v>
      </c>
      <c r="D2">
        <v>15483.236999999999</v>
      </c>
      <c r="E2">
        <v>20200</v>
      </c>
      <c r="F2">
        <v>26600</v>
      </c>
      <c r="G2" s="21" t="s">
        <v>56</v>
      </c>
      <c r="H2" s="21" t="s">
        <v>57</v>
      </c>
      <c r="I2" s="22" t="s">
        <v>58</v>
      </c>
    </row>
    <row r="3" spans="1:9" x14ac:dyDescent="0.3">
      <c r="A3" s="11" t="s">
        <v>48</v>
      </c>
      <c r="B3" s="11" t="s">
        <v>50</v>
      </c>
      <c r="C3" s="11" t="s">
        <v>45</v>
      </c>
      <c r="D3" s="42">
        <v>13.98</v>
      </c>
      <c r="E3" s="42">
        <v>16.469000000000001</v>
      </c>
      <c r="F3" s="42">
        <v>18.713000000000001</v>
      </c>
      <c r="G3" s="21" t="s">
        <v>53</v>
      </c>
      <c r="H3" s="21" t="s">
        <v>57</v>
      </c>
      <c r="I3" s="22" t="s">
        <v>59</v>
      </c>
    </row>
    <row r="4" spans="1:9" x14ac:dyDescent="0.3">
      <c r="A4" s="11" t="s">
        <v>48</v>
      </c>
      <c r="B4" s="11" t="s">
        <v>51</v>
      </c>
      <c r="C4" s="11" t="s">
        <v>46</v>
      </c>
      <c r="D4">
        <v>234.84700000000001</v>
      </c>
      <c r="E4">
        <v>254</v>
      </c>
      <c r="F4">
        <v>303</v>
      </c>
      <c r="G4" s="21" t="s">
        <v>54</v>
      </c>
      <c r="H4" s="21" t="s">
        <v>60</v>
      </c>
      <c r="I4" s="22" t="s">
        <v>61</v>
      </c>
    </row>
    <row r="5" spans="1:9" x14ac:dyDescent="0.3">
      <c r="A5" s="11" t="s">
        <v>48</v>
      </c>
      <c r="B5" s="11" t="s">
        <v>52</v>
      </c>
      <c r="C5" s="11" t="s">
        <v>47</v>
      </c>
      <c r="D5">
        <v>3</v>
      </c>
      <c r="E5">
        <v>3.9</v>
      </c>
      <c r="F5">
        <v>4.9000000000000004</v>
      </c>
      <c r="G5" s="21" t="s">
        <v>55</v>
      </c>
      <c r="H5" s="21" t="s">
        <v>62</v>
      </c>
      <c r="I5" s="22" t="s">
        <v>63</v>
      </c>
    </row>
    <row r="6" spans="1:9" x14ac:dyDescent="0.3">
      <c r="A6" s="11" t="s">
        <v>64</v>
      </c>
      <c r="B6" s="11" t="s">
        <v>65</v>
      </c>
      <c r="C6" s="11" t="s">
        <v>66</v>
      </c>
      <c r="D6" s="12">
        <v>0.03</v>
      </c>
      <c r="E6" s="12">
        <v>0.05</v>
      </c>
      <c r="F6" s="12">
        <v>0.05</v>
      </c>
      <c r="G6" s="21" t="s">
        <v>67</v>
      </c>
      <c r="H6" s="21" t="s">
        <v>68</v>
      </c>
      <c r="I6" s="22" t="s">
        <v>69</v>
      </c>
    </row>
    <row r="7" spans="1:9" x14ac:dyDescent="0.3">
      <c r="A7" s="11" t="s">
        <v>64</v>
      </c>
      <c r="B7" s="11" t="s">
        <v>70</v>
      </c>
      <c r="C7" s="11" t="s">
        <v>71</v>
      </c>
      <c r="D7">
        <v>2934.027</v>
      </c>
      <c r="E7" s="19"/>
      <c r="F7">
        <v>5640.1260000000002</v>
      </c>
      <c r="G7" s="21" t="s">
        <v>56</v>
      </c>
      <c r="H7" s="21" t="s">
        <v>72</v>
      </c>
      <c r="I7" s="22" t="s">
        <v>73</v>
      </c>
    </row>
    <row r="8" spans="1:9" x14ac:dyDescent="0.3">
      <c r="A8" t="s">
        <v>64</v>
      </c>
      <c r="B8" t="s">
        <v>74</v>
      </c>
      <c r="C8" t="s">
        <v>75</v>
      </c>
      <c r="D8">
        <v>683.39499999999998</v>
      </c>
      <c r="E8" s="19"/>
      <c r="F8">
        <v>1851.6990000000001</v>
      </c>
      <c r="G8" s="21" t="s">
        <v>56</v>
      </c>
      <c r="H8" s="21" t="s">
        <v>72</v>
      </c>
      <c r="I8" s="22" t="s">
        <v>76</v>
      </c>
    </row>
    <row r="9" spans="1:9" x14ac:dyDescent="0.3">
      <c r="A9" s="13" t="s">
        <v>77</v>
      </c>
      <c r="B9" s="13" t="s">
        <v>78</v>
      </c>
      <c r="C9" s="13" t="s">
        <v>79</v>
      </c>
      <c r="D9" s="14">
        <v>458.51100000000002</v>
      </c>
      <c r="E9" s="14">
        <v>507.6</v>
      </c>
      <c r="F9" s="14">
        <v>674.60699999999997</v>
      </c>
      <c r="G9" s="15" t="s">
        <v>56</v>
      </c>
      <c r="H9" s="15" t="s">
        <v>80</v>
      </c>
      <c r="I9" s="23" t="s">
        <v>81</v>
      </c>
    </row>
    <row r="10" spans="1:9" x14ac:dyDescent="0.3">
      <c r="A10" s="13" t="s">
        <v>77</v>
      </c>
      <c r="B10" s="13" t="s">
        <v>78</v>
      </c>
      <c r="C10" s="13" t="s">
        <v>82</v>
      </c>
      <c r="D10" s="14">
        <v>100.696</v>
      </c>
      <c r="E10" s="14">
        <v>119.33799999999999</v>
      </c>
      <c r="F10" s="14">
        <v>151.40100000000001</v>
      </c>
      <c r="G10" s="15" t="s">
        <v>56</v>
      </c>
      <c r="H10" s="15" t="s">
        <v>80</v>
      </c>
      <c r="I10" s="23" t="s">
        <v>83</v>
      </c>
    </row>
    <row r="11" spans="1:9" x14ac:dyDescent="0.3">
      <c r="A11" s="8" t="s">
        <v>77</v>
      </c>
      <c r="B11" s="8" t="s">
        <v>78</v>
      </c>
      <c r="C11" s="8" t="s">
        <v>84</v>
      </c>
      <c r="D11" s="9">
        <v>559.20699999999999</v>
      </c>
      <c r="E11" s="9">
        <v>626.93799999999999</v>
      </c>
      <c r="F11" s="9">
        <v>826.00800000000004</v>
      </c>
      <c r="G11" s="10" t="s">
        <v>56</v>
      </c>
      <c r="H11" s="10" t="s">
        <v>80</v>
      </c>
      <c r="I11" s="26" t="s">
        <v>85</v>
      </c>
    </row>
    <row r="12" spans="1:9" x14ac:dyDescent="0.3">
      <c r="A12" s="13" t="s">
        <v>77</v>
      </c>
      <c r="B12" s="13" t="s">
        <v>78</v>
      </c>
      <c r="C12" s="13" t="s">
        <v>86</v>
      </c>
      <c r="D12" s="14">
        <v>527.88</v>
      </c>
      <c r="E12" s="14">
        <v>685.21699999999998</v>
      </c>
      <c r="F12" s="14">
        <v>1204.355</v>
      </c>
      <c r="G12" s="15" t="s">
        <v>56</v>
      </c>
      <c r="H12" s="15" t="s">
        <v>80</v>
      </c>
      <c r="I12" s="23" t="s">
        <v>87</v>
      </c>
    </row>
    <row r="13" spans="1:9" x14ac:dyDescent="0.3">
      <c r="A13" s="13" t="s">
        <v>77</v>
      </c>
      <c r="B13" s="13" t="s">
        <v>78</v>
      </c>
      <c r="C13" s="13" t="s">
        <v>88</v>
      </c>
      <c r="D13" s="14">
        <v>196.435</v>
      </c>
      <c r="E13" s="14">
        <v>188.34100000000001</v>
      </c>
      <c r="F13" s="14">
        <v>197.15299999999999</v>
      </c>
      <c r="G13" s="15" t="s">
        <v>56</v>
      </c>
      <c r="H13" s="15" t="s">
        <v>80</v>
      </c>
      <c r="I13" s="23" t="s">
        <v>89</v>
      </c>
    </row>
    <row r="14" spans="1:9" x14ac:dyDescent="0.3">
      <c r="A14" s="13" t="s">
        <v>77</v>
      </c>
      <c r="B14" s="13" t="s">
        <v>78</v>
      </c>
      <c r="C14" s="13" t="s">
        <v>90</v>
      </c>
      <c r="D14" s="14">
        <v>65.77</v>
      </c>
      <c r="E14" s="14">
        <v>87.489000000000004</v>
      </c>
      <c r="F14" s="14">
        <v>95.483000000000004</v>
      </c>
      <c r="G14" s="15" t="s">
        <v>56</v>
      </c>
      <c r="H14" s="15" t="s">
        <v>80</v>
      </c>
      <c r="I14" s="23" t="s">
        <v>91</v>
      </c>
    </row>
    <row r="15" spans="1:9" x14ac:dyDescent="0.3">
      <c r="A15" s="33" t="s">
        <v>77</v>
      </c>
      <c r="B15" s="33" t="s">
        <v>78</v>
      </c>
      <c r="C15" s="33" t="s">
        <v>78</v>
      </c>
      <c r="D15" s="34">
        <v>1349.2919999999999</v>
      </c>
      <c r="E15" s="34">
        <v>1587.9849999999999</v>
      </c>
      <c r="F15" s="34">
        <v>2322.9989999999998</v>
      </c>
      <c r="G15" s="35" t="s">
        <v>56</v>
      </c>
      <c r="H15" s="35" t="s">
        <v>80</v>
      </c>
      <c r="I15" s="36" t="s">
        <v>92</v>
      </c>
    </row>
    <row r="16" spans="1:9" x14ac:dyDescent="0.3">
      <c r="A16" s="13" t="s">
        <v>77</v>
      </c>
      <c r="B16" s="13" t="s">
        <v>93</v>
      </c>
      <c r="C16" s="13" t="s">
        <v>94</v>
      </c>
      <c r="D16" s="14">
        <v>204.08099999999999</v>
      </c>
      <c r="E16" s="14">
        <v>140.26499999999999</v>
      </c>
      <c r="F16" s="14">
        <v>180.39500000000001</v>
      </c>
      <c r="G16" s="15" t="s">
        <v>56</v>
      </c>
      <c r="H16" s="15" t="s">
        <v>80</v>
      </c>
      <c r="I16" s="23" t="s">
        <v>95</v>
      </c>
    </row>
    <row r="17" spans="1:9" x14ac:dyDescent="0.3">
      <c r="A17" s="13" t="s">
        <v>77</v>
      </c>
      <c r="B17" s="13" t="s">
        <v>93</v>
      </c>
      <c r="C17" s="13" t="s">
        <v>96</v>
      </c>
      <c r="D17" s="14">
        <v>255.27199999999999</v>
      </c>
      <c r="E17" s="14">
        <v>331.86</v>
      </c>
      <c r="F17" s="14">
        <v>460.62799999999999</v>
      </c>
      <c r="G17" s="15" t="s">
        <v>56</v>
      </c>
      <c r="H17" s="15" t="s">
        <v>80</v>
      </c>
      <c r="I17" s="23" t="s">
        <v>97</v>
      </c>
    </row>
    <row r="18" spans="1:9" x14ac:dyDescent="0.3">
      <c r="A18" s="13" t="s">
        <v>77</v>
      </c>
      <c r="B18" s="13" t="s">
        <v>93</v>
      </c>
      <c r="C18" s="13" t="s">
        <v>98</v>
      </c>
      <c r="D18" s="14">
        <v>69.694000000000003</v>
      </c>
      <c r="E18" s="14">
        <v>183.01300000000001</v>
      </c>
      <c r="F18" s="14">
        <v>344.25299999999999</v>
      </c>
      <c r="G18" s="15" t="s">
        <v>56</v>
      </c>
      <c r="H18" s="15" t="s">
        <v>80</v>
      </c>
      <c r="I18" s="23" t="s">
        <v>99</v>
      </c>
    </row>
    <row r="19" spans="1:9" x14ac:dyDescent="0.3">
      <c r="A19" s="13" t="s">
        <v>77</v>
      </c>
      <c r="B19" s="13" t="s">
        <v>93</v>
      </c>
      <c r="C19" s="13" t="s">
        <v>100</v>
      </c>
      <c r="D19" s="14">
        <v>157.81399999999999</v>
      </c>
      <c r="E19" s="14">
        <v>257.34300000000002</v>
      </c>
      <c r="F19" s="14">
        <v>343.24900000000002</v>
      </c>
      <c r="G19" s="15" t="s">
        <v>56</v>
      </c>
      <c r="H19" s="15" t="s">
        <v>80</v>
      </c>
      <c r="I19" s="23" t="s">
        <v>101</v>
      </c>
    </row>
    <row r="20" spans="1:9" x14ac:dyDescent="0.3">
      <c r="A20" s="13" t="s">
        <v>77</v>
      </c>
      <c r="B20" s="13" t="s">
        <v>93</v>
      </c>
      <c r="C20" s="13" t="s">
        <v>102</v>
      </c>
      <c r="D20" s="14">
        <v>418.64299999999997</v>
      </c>
      <c r="E20" s="14">
        <v>615.81799999999998</v>
      </c>
      <c r="F20" s="14">
        <v>501.85700000000003</v>
      </c>
      <c r="G20" s="15" t="s">
        <v>56</v>
      </c>
      <c r="H20" s="15" t="s">
        <v>80</v>
      </c>
      <c r="I20" s="23" t="s">
        <v>103</v>
      </c>
    </row>
    <row r="21" spans="1:9" x14ac:dyDescent="0.3">
      <c r="A21" s="13" t="s">
        <v>77</v>
      </c>
      <c r="B21" s="13" t="s">
        <v>93</v>
      </c>
      <c r="C21" s="13" t="s">
        <v>104</v>
      </c>
      <c r="D21" s="14">
        <v>532.34299999999996</v>
      </c>
      <c r="E21" s="14">
        <v>638.28</v>
      </c>
      <c r="F21" s="14">
        <v>576.40499999999997</v>
      </c>
      <c r="G21" s="15" t="s">
        <v>56</v>
      </c>
      <c r="H21" s="15" t="s">
        <v>80</v>
      </c>
      <c r="I21" s="23" t="s">
        <v>105</v>
      </c>
    </row>
    <row r="22" spans="1:9" x14ac:dyDescent="0.3">
      <c r="A22" s="13" t="s">
        <v>77</v>
      </c>
      <c r="B22" s="13" t="s">
        <v>93</v>
      </c>
      <c r="C22" s="13" t="s">
        <v>106</v>
      </c>
      <c r="D22" s="14">
        <v>577.49300000000005</v>
      </c>
      <c r="E22" s="14">
        <v>586.39800000000002</v>
      </c>
      <c r="F22" s="14">
        <v>525.29100000000005</v>
      </c>
      <c r="G22" s="15" t="s">
        <v>56</v>
      </c>
      <c r="H22" s="15" t="s">
        <v>80</v>
      </c>
      <c r="I22" s="23" t="s">
        <v>107</v>
      </c>
    </row>
    <row r="23" spans="1:9" x14ac:dyDescent="0.3">
      <c r="A23" s="13" t="s">
        <v>77</v>
      </c>
      <c r="B23" s="13" t="s">
        <v>93</v>
      </c>
      <c r="C23" s="13" t="s">
        <v>108</v>
      </c>
      <c r="D23" s="14">
        <v>0</v>
      </c>
      <c r="E23" s="14">
        <v>35.869999999999997</v>
      </c>
      <c r="F23" s="14">
        <v>6.7679999999999998</v>
      </c>
      <c r="G23" s="15" t="s">
        <v>56</v>
      </c>
      <c r="H23" s="15" t="s">
        <v>80</v>
      </c>
      <c r="I23" s="23" t="s">
        <v>109</v>
      </c>
    </row>
    <row r="24" spans="1:9" x14ac:dyDescent="0.3">
      <c r="A24" s="33" t="s">
        <v>77</v>
      </c>
      <c r="B24" s="33" t="s">
        <v>93</v>
      </c>
      <c r="C24" s="33" t="s">
        <v>110</v>
      </c>
      <c r="D24" s="34">
        <v>2215.34</v>
      </c>
      <c r="E24" s="34">
        <v>2788.8470000000002</v>
      </c>
      <c r="F24" s="34">
        <v>2938.846</v>
      </c>
      <c r="G24" s="35" t="s">
        <v>56</v>
      </c>
      <c r="H24" s="35" t="s">
        <v>80</v>
      </c>
      <c r="I24" s="36" t="s">
        <v>111</v>
      </c>
    </row>
    <row r="25" spans="1:9" x14ac:dyDescent="0.3">
      <c r="A25" s="8" t="s">
        <v>77</v>
      </c>
      <c r="B25" s="8" t="s">
        <v>112</v>
      </c>
      <c r="C25" s="8" t="s">
        <v>113</v>
      </c>
      <c r="D25" s="27">
        <v>-866.048</v>
      </c>
      <c r="E25" s="27">
        <v>-1200.8620000000001</v>
      </c>
      <c r="F25" s="27">
        <v>-615.84699999999998</v>
      </c>
      <c r="G25" s="10" t="s">
        <v>56</v>
      </c>
      <c r="H25" s="10" t="s">
        <v>80</v>
      </c>
      <c r="I25" s="26" t="s">
        <v>114</v>
      </c>
    </row>
    <row r="26" spans="1:9" x14ac:dyDescent="0.3">
      <c r="A26" s="13" t="s">
        <v>77</v>
      </c>
      <c r="B26" s="13" t="s">
        <v>112</v>
      </c>
      <c r="C26" s="13" t="s">
        <v>115</v>
      </c>
      <c r="D26" s="14">
        <v>141.21700000000001</v>
      </c>
      <c r="E26" s="14">
        <v>211.61699999999999</v>
      </c>
      <c r="F26" s="14">
        <v>100.32</v>
      </c>
      <c r="G26" s="15" t="s">
        <v>56</v>
      </c>
      <c r="H26" s="15" t="s">
        <v>80</v>
      </c>
      <c r="I26" s="23" t="s">
        <v>116</v>
      </c>
    </row>
    <row r="27" spans="1:9" x14ac:dyDescent="0.3">
      <c r="A27" s="8" t="s">
        <v>77</v>
      </c>
      <c r="B27" s="8" t="s">
        <v>112</v>
      </c>
      <c r="C27" s="8" t="s">
        <v>117</v>
      </c>
      <c r="D27" s="27">
        <v>-724.83100000000002</v>
      </c>
      <c r="E27" s="27">
        <v>-989.245</v>
      </c>
      <c r="F27" s="27">
        <v>-515.52700000000004</v>
      </c>
      <c r="G27" s="10" t="s">
        <v>56</v>
      </c>
      <c r="H27" s="10" t="s">
        <v>80</v>
      </c>
      <c r="I27" s="26" t="s">
        <v>118</v>
      </c>
    </row>
    <row r="28" spans="1:9" x14ac:dyDescent="0.3">
      <c r="A28" s="13" t="s">
        <v>77</v>
      </c>
      <c r="B28" s="13" t="s">
        <v>112</v>
      </c>
      <c r="C28" s="13" t="s">
        <v>119</v>
      </c>
      <c r="D28" s="20">
        <v>-17.414000000000001</v>
      </c>
      <c r="E28" s="20">
        <v>-3.9</v>
      </c>
      <c r="F28" s="14">
        <v>2.23</v>
      </c>
      <c r="G28" s="15" t="s">
        <v>56</v>
      </c>
      <c r="H28" s="15" t="s">
        <v>80</v>
      </c>
      <c r="I28" s="23" t="s">
        <v>120</v>
      </c>
    </row>
    <row r="29" spans="1:9" x14ac:dyDescent="0.3">
      <c r="A29" s="33" t="s">
        <v>77</v>
      </c>
      <c r="B29" s="33" t="s">
        <v>112</v>
      </c>
      <c r="C29" s="33" t="s">
        <v>121</v>
      </c>
      <c r="D29" s="37">
        <v>-707.41700000000003</v>
      </c>
      <c r="E29" s="37">
        <v>-985.34500000000003</v>
      </c>
      <c r="F29" s="37">
        <v>-517.75699999999995</v>
      </c>
      <c r="G29" s="35" t="s">
        <v>56</v>
      </c>
      <c r="H29" s="35" t="s">
        <v>80</v>
      </c>
      <c r="I29" s="36" t="s">
        <v>122</v>
      </c>
    </row>
    <row r="30" spans="1:9" x14ac:dyDescent="0.3">
      <c r="A30" s="16" t="s">
        <v>123</v>
      </c>
      <c r="B30" s="16" t="s">
        <v>124</v>
      </c>
      <c r="C30" s="16" t="s">
        <v>125</v>
      </c>
      <c r="D30" s="17">
        <v>1255.171</v>
      </c>
      <c r="E30" s="17">
        <v>892.02700000000004</v>
      </c>
      <c r="F30" s="17">
        <v>1013.106</v>
      </c>
      <c r="G30" s="18" t="s">
        <v>56</v>
      </c>
      <c r="H30" s="18" t="s">
        <v>126</v>
      </c>
      <c r="I30" s="24" t="s">
        <v>127</v>
      </c>
    </row>
    <row r="31" spans="1:9" x14ac:dyDescent="0.3">
      <c r="A31" s="16" t="s">
        <v>123</v>
      </c>
      <c r="B31" s="16" t="s">
        <v>124</v>
      </c>
      <c r="C31" s="16" t="s">
        <v>128</v>
      </c>
      <c r="D31" s="17">
        <v>295.63600000000002</v>
      </c>
      <c r="E31" s="17">
        <v>367.91699999999997</v>
      </c>
      <c r="F31" s="17">
        <v>282.29300000000001</v>
      </c>
      <c r="G31" s="18" t="s">
        <v>56</v>
      </c>
      <c r="H31" s="18" t="s">
        <v>126</v>
      </c>
      <c r="I31" s="24" t="s">
        <v>129</v>
      </c>
    </row>
    <row r="32" spans="1:9" x14ac:dyDescent="0.3">
      <c r="A32" s="16" t="s">
        <v>123</v>
      </c>
      <c r="B32" s="16" t="s">
        <v>124</v>
      </c>
      <c r="C32" s="16" t="s">
        <v>130</v>
      </c>
      <c r="D32" s="17">
        <v>1595.373</v>
      </c>
      <c r="E32" s="17">
        <v>1174.653</v>
      </c>
      <c r="F32" s="17">
        <v>1131.6279999999999</v>
      </c>
      <c r="G32" s="18" t="s">
        <v>56</v>
      </c>
      <c r="H32" s="18" t="s">
        <v>126</v>
      </c>
      <c r="I32" s="24" t="s">
        <v>131</v>
      </c>
    </row>
    <row r="33" spans="1:9" x14ac:dyDescent="0.3">
      <c r="A33" s="16" t="s">
        <v>123</v>
      </c>
      <c r="B33" s="16" t="s">
        <v>124</v>
      </c>
      <c r="C33" s="16" t="s">
        <v>132</v>
      </c>
      <c r="D33" s="17">
        <v>2.67</v>
      </c>
      <c r="E33" s="17">
        <v>7.5999999999999998E-2</v>
      </c>
      <c r="F33" s="17">
        <v>3.5999999999999997E-2</v>
      </c>
      <c r="G33" s="18" t="s">
        <v>56</v>
      </c>
      <c r="H33" s="18" t="s">
        <v>126</v>
      </c>
      <c r="I33" s="24" t="s">
        <v>133</v>
      </c>
    </row>
    <row r="34" spans="1:9" x14ac:dyDescent="0.3">
      <c r="A34" s="16" t="s">
        <v>123</v>
      </c>
      <c r="B34" s="16" t="s">
        <v>124</v>
      </c>
      <c r="C34" s="16" t="s">
        <v>134</v>
      </c>
      <c r="D34" s="17">
        <v>2503.5610000000001</v>
      </c>
      <c r="E34" s="17">
        <v>4402.9620000000004</v>
      </c>
      <c r="F34" s="17">
        <v>5670.0559999999996</v>
      </c>
      <c r="G34" s="18" t="s">
        <v>56</v>
      </c>
      <c r="H34" s="18" t="s">
        <v>126</v>
      </c>
      <c r="I34" s="24" t="s">
        <v>135</v>
      </c>
    </row>
    <row r="35" spans="1:9" x14ac:dyDescent="0.3">
      <c r="A35" s="16" t="s">
        <v>123</v>
      </c>
      <c r="B35" s="16" t="s">
        <v>124</v>
      </c>
      <c r="C35" s="16" t="s">
        <v>136</v>
      </c>
      <c r="D35" s="25">
        <v>-155.392</v>
      </c>
      <c r="E35" s="25">
        <v>-204.53100000000001</v>
      </c>
      <c r="F35" s="25">
        <v>-309.09699999999998</v>
      </c>
      <c r="G35" s="18" t="s">
        <v>56</v>
      </c>
      <c r="H35" s="18" t="s">
        <v>126</v>
      </c>
      <c r="I35" s="24" t="s">
        <v>137</v>
      </c>
    </row>
    <row r="36" spans="1:9" x14ac:dyDescent="0.3">
      <c r="A36" s="28" t="s">
        <v>123</v>
      </c>
      <c r="B36" s="28" t="s">
        <v>124</v>
      </c>
      <c r="C36" s="28" t="s">
        <v>138</v>
      </c>
      <c r="D36" s="29">
        <v>2348.1689999999999</v>
      </c>
      <c r="E36" s="29">
        <v>4198.4309999999996</v>
      </c>
      <c r="F36" s="29">
        <v>5360.9589999999998</v>
      </c>
      <c r="G36" s="30" t="s">
        <v>56</v>
      </c>
      <c r="H36" s="30" t="s">
        <v>126</v>
      </c>
      <c r="I36" s="31" t="s">
        <v>139</v>
      </c>
    </row>
    <row r="37" spans="1:9" x14ac:dyDescent="0.3">
      <c r="A37" s="16" t="s">
        <v>123</v>
      </c>
      <c r="B37" s="16" t="s">
        <v>124</v>
      </c>
      <c r="C37" s="16" t="s">
        <v>140</v>
      </c>
      <c r="D37" s="17">
        <v>142.05199999999999</v>
      </c>
      <c r="E37" s="17">
        <v>199.08500000000001</v>
      </c>
      <c r="F37" s="17">
        <v>353.02800000000002</v>
      </c>
      <c r="G37" s="18" t="s">
        <v>56</v>
      </c>
      <c r="H37" s="18" t="s">
        <v>126</v>
      </c>
      <c r="I37" s="24" t="s">
        <v>141</v>
      </c>
    </row>
    <row r="38" spans="1:9" x14ac:dyDescent="0.3">
      <c r="A38" s="16" t="s">
        <v>123</v>
      </c>
      <c r="B38" s="16" t="s">
        <v>124</v>
      </c>
      <c r="C38" s="16" t="s">
        <v>142</v>
      </c>
      <c r="D38" s="17">
        <v>171.482</v>
      </c>
      <c r="E38" s="17">
        <v>290.13499999999999</v>
      </c>
      <c r="F38" s="17">
        <v>427.68599999999998</v>
      </c>
      <c r="G38" s="18" t="s">
        <v>56</v>
      </c>
      <c r="H38" s="18" t="s">
        <v>126</v>
      </c>
      <c r="I38" s="24" t="s">
        <v>143</v>
      </c>
    </row>
    <row r="39" spans="1:9" x14ac:dyDescent="0.3">
      <c r="A39" s="16" t="s">
        <v>123</v>
      </c>
      <c r="B39" s="16" t="s">
        <v>124</v>
      </c>
      <c r="C39" s="16" t="s">
        <v>144</v>
      </c>
      <c r="D39" s="17">
        <v>539.53399999999999</v>
      </c>
      <c r="E39" s="17">
        <v>542.57100000000003</v>
      </c>
      <c r="F39" s="17">
        <v>533.43899999999996</v>
      </c>
      <c r="G39" s="18" t="s">
        <v>56</v>
      </c>
      <c r="H39" s="18" t="s">
        <v>126</v>
      </c>
      <c r="I39" s="24" t="s">
        <v>145</v>
      </c>
    </row>
    <row r="40" spans="1:9" x14ac:dyDescent="0.3">
      <c r="A40" s="16" t="s">
        <v>123</v>
      </c>
      <c r="B40" s="16" t="s">
        <v>124</v>
      </c>
      <c r="C40" s="16" t="s">
        <v>146</v>
      </c>
      <c r="D40" s="17">
        <v>78.941999999999993</v>
      </c>
      <c r="E40" s="17">
        <v>34.433999999999997</v>
      </c>
      <c r="F40" s="17">
        <v>13.502000000000001</v>
      </c>
      <c r="G40" s="18" t="s">
        <v>56</v>
      </c>
      <c r="H40" s="18" t="s">
        <v>126</v>
      </c>
      <c r="I40" s="24" t="s">
        <v>147</v>
      </c>
    </row>
    <row r="41" spans="1:9" x14ac:dyDescent="0.3">
      <c r="A41" s="16" t="s">
        <v>123</v>
      </c>
      <c r="B41" s="16" t="s">
        <v>124</v>
      </c>
      <c r="C41" s="16" t="s">
        <v>148</v>
      </c>
      <c r="D41" s="17">
        <v>263.19600000000003</v>
      </c>
      <c r="E41" s="17">
        <v>177.672</v>
      </c>
      <c r="F41" s="17">
        <v>104.602</v>
      </c>
      <c r="G41" s="18" t="s">
        <v>56</v>
      </c>
      <c r="H41" s="18" t="s">
        <v>126</v>
      </c>
      <c r="I41" s="24" t="s">
        <v>149</v>
      </c>
    </row>
    <row r="42" spans="1:9" x14ac:dyDescent="0.3">
      <c r="A42" s="16" t="s">
        <v>123</v>
      </c>
      <c r="B42" s="16" t="s">
        <v>124</v>
      </c>
      <c r="C42" s="16" t="s">
        <v>150</v>
      </c>
      <c r="D42" s="17">
        <v>281.56700000000001</v>
      </c>
      <c r="E42" s="17">
        <v>278.61399999999998</v>
      </c>
      <c r="F42" s="17">
        <v>299.33999999999997</v>
      </c>
      <c r="G42" s="18" t="s">
        <v>56</v>
      </c>
      <c r="H42" s="18" t="s">
        <v>126</v>
      </c>
      <c r="I42" s="24" t="s">
        <v>151</v>
      </c>
    </row>
    <row r="43" spans="1:9" x14ac:dyDescent="0.3">
      <c r="A43" s="38" t="s">
        <v>123</v>
      </c>
      <c r="B43" s="38" t="s">
        <v>124</v>
      </c>
      <c r="C43" s="38" t="s">
        <v>152</v>
      </c>
      <c r="D43" s="39">
        <v>6973.7920000000004</v>
      </c>
      <c r="E43" s="39">
        <v>8155.6149999999998</v>
      </c>
      <c r="F43" s="39">
        <v>9519.6190000000006</v>
      </c>
      <c r="G43" s="40" t="s">
        <v>56</v>
      </c>
      <c r="H43" s="40" t="s">
        <v>126</v>
      </c>
      <c r="I43" s="41" t="s">
        <v>153</v>
      </c>
    </row>
    <row r="44" spans="1:9" x14ac:dyDescent="0.3">
      <c r="A44" s="16" t="s">
        <v>123</v>
      </c>
      <c r="B44" s="16" t="s">
        <v>154</v>
      </c>
      <c r="C44" s="16" t="s">
        <v>155</v>
      </c>
      <c r="D44" s="17">
        <v>33.072000000000003</v>
      </c>
      <c r="E44" s="17">
        <v>28.602</v>
      </c>
      <c r="F44" s="17">
        <v>41.018999999999998</v>
      </c>
      <c r="G44" s="18" t="s">
        <v>56</v>
      </c>
      <c r="H44" s="18" t="s">
        <v>126</v>
      </c>
      <c r="I44" s="24" t="s">
        <v>156</v>
      </c>
    </row>
    <row r="45" spans="1:9" x14ac:dyDescent="0.3">
      <c r="A45" s="16" t="s">
        <v>123</v>
      </c>
      <c r="B45" s="16" t="s">
        <v>154</v>
      </c>
      <c r="C45" s="16" t="s">
        <v>157</v>
      </c>
      <c r="D45" s="17">
        <v>71.382999999999996</v>
      </c>
      <c r="E45" s="17">
        <v>53.851999999999997</v>
      </c>
      <c r="F45" s="17">
        <v>159.643</v>
      </c>
      <c r="G45" s="18" t="s">
        <v>56</v>
      </c>
      <c r="H45" s="18" t="s">
        <v>126</v>
      </c>
      <c r="I45" s="24" t="s">
        <v>158</v>
      </c>
    </row>
    <row r="46" spans="1:9" x14ac:dyDescent="0.3">
      <c r="A46" s="16" t="s">
        <v>123</v>
      </c>
      <c r="B46" s="16" t="s">
        <v>154</v>
      </c>
      <c r="C46" s="16" t="s">
        <v>159</v>
      </c>
      <c r="D46" s="17">
        <v>6.6589999999999998</v>
      </c>
      <c r="E46" s="17">
        <v>13.497999999999999</v>
      </c>
      <c r="F46" s="17">
        <v>24.327000000000002</v>
      </c>
      <c r="G46" s="18" t="s">
        <v>56</v>
      </c>
      <c r="H46" s="18" t="s">
        <v>126</v>
      </c>
      <c r="I46" s="24" t="s">
        <v>160</v>
      </c>
    </row>
    <row r="47" spans="1:9" x14ac:dyDescent="0.3">
      <c r="A47" s="16" t="s">
        <v>123</v>
      </c>
      <c r="B47" s="16" t="s">
        <v>154</v>
      </c>
      <c r="C47" s="16" t="s">
        <v>161</v>
      </c>
      <c r="D47" s="17">
        <v>237.59800000000001</v>
      </c>
      <c r="E47" s="17">
        <v>180.88300000000001</v>
      </c>
      <c r="F47" s="17">
        <v>147.429</v>
      </c>
      <c r="G47" s="18" t="s">
        <v>56</v>
      </c>
      <c r="H47" s="18" t="s">
        <v>126</v>
      </c>
      <c r="I47" s="24" t="s">
        <v>162</v>
      </c>
    </row>
    <row r="48" spans="1:9" x14ac:dyDescent="0.3">
      <c r="A48" s="16" t="s">
        <v>123</v>
      </c>
      <c r="B48" s="16" t="s">
        <v>154</v>
      </c>
      <c r="C48" s="16" t="s">
        <v>163</v>
      </c>
      <c r="D48" s="17">
        <v>1706.6679999999999</v>
      </c>
      <c r="E48" s="17">
        <v>1414.2080000000001</v>
      </c>
      <c r="F48" s="17">
        <v>1341.43</v>
      </c>
      <c r="G48" s="18" t="s">
        <v>56</v>
      </c>
      <c r="H48" s="18" t="s">
        <v>126</v>
      </c>
      <c r="I48" s="24" t="s">
        <v>164</v>
      </c>
    </row>
    <row r="49" spans="1:19" x14ac:dyDescent="0.3">
      <c r="A49" s="16" t="s">
        <v>123</v>
      </c>
      <c r="B49" s="16" t="s">
        <v>154</v>
      </c>
      <c r="C49" s="16" t="s">
        <v>165</v>
      </c>
      <c r="D49" s="17">
        <v>1627.58</v>
      </c>
      <c r="E49" s="17">
        <v>2165.5770000000002</v>
      </c>
      <c r="F49" s="17">
        <v>3236.873</v>
      </c>
      <c r="G49" s="18" t="s">
        <v>56</v>
      </c>
      <c r="H49" s="18" t="s">
        <v>126</v>
      </c>
      <c r="I49" s="24" t="s">
        <v>166</v>
      </c>
    </row>
    <row r="50" spans="1:19" x14ac:dyDescent="0.3">
      <c r="A50" s="16" t="s">
        <v>123</v>
      </c>
      <c r="B50" s="16" t="s">
        <v>154</v>
      </c>
      <c r="C50" s="16" t="s">
        <v>167</v>
      </c>
      <c r="D50" s="17">
        <v>672.577</v>
      </c>
      <c r="E50" s="17">
        <v>1764.8119999999999</v>
      </c>
      <c r="F50" s="17">
        <v>1836.9090000000001</v>
      </c>
      <c r="G50" s="18" t="s">
        <v>56</v>
      </c>
      <c r="H50" s="18" t="s">
        <v>126</v>
      </c>
      <c r="I50" s="24" t="s">
        <v>168</v>
      </c>
    </row>
    <row r="51" spans="1:19" s="32" customFormat="1" x14ac:dyDescent="0.3">
      <c r="A51" s="38" t="s">
        <v>123</v>
      </c>
      <c r="B51" s="38" t="s">
        <v>154</v>
      </c>
      <c r="C51" s="38" t="s">
        <v>169</v>
      </c>
      <c r="D51" s="39">
        <v>4355.5370000000003</v>
      </c>
      <c r="E51" s="39">
        <v>5621.4319999999998</v>
      </c>
      <c r="F51" s="39">
        <v>6787.63</v>
      </c>
      <c r="G51" s="40" t="s">
        <v>56</v>
      </c>
      <c r="H51" s="40" t="s">
        <v>126</v>
      </c>
      <c r="I51" s="41" t="s">
        <v>170</v>
      </c>
    </row>
    <row r="52" spans="1:19" x14ac:dyDescent="0.3">
      <c r="A52" s="16" t="s">
        <v>123</v>
      </c>
      <c r="B52" s="16" t="s">
        <v>171</v>
      </c>
      <c r="C52" s="16" t="s">
        <v>172</v>
      </c>
      <c r="D52" s="17">
        <v>4231.3029999999999</v>
      </c>
      <c r="E52" s="17">
        <v>5140.8500000000004</v>
      </c>
      <c r="F52" s="17">
        <v>5862.5550000000003</v>
      </c>
      <c r="G52" s="18" t="s">
        <v>56</v>
      </c>
      <c r="H52" s="18" t="s">
        <v>126</v>
      </c>
      <c r="I52" s="24" t="s">
        <v>173</v>
      </c>
    </row>
    <row r="53" spans="1:19" x14ac:dyDescent="0.3">
      <c r="A53" s="16" t="s">
        <v>123</v>
      </c>
      <c r="B53" s="16" t="s">
        <v>171</v>
      </c>
      <c r="C53" s="16" t="s">
        <v>174</v>
      </c>
      <c r="D53" s="25">
        <v>-1605.902</v>
      </c>
      <c r="E53" s="25">
        <v>-2591.2469999999998</v>
      </c>
      <c r="F53" s="25">
        <v>-3109.0039999999999</v>
      </c>
      <c r="G53" s="18" t="s">
        <v>56</v>
      </c>
      <c r="H53" s="18" t="s">
        <v>126</v>
      </c>
      <c r="I53" s="24" t="s">
        <v>175</v>
      </c>
    </row>
    <row r="54" spans="1:19" x14ac:dyDescent="0.3">
      <c r="A54" s="16" t="s">
        <v>123</v>
      </c>
      <c r="B54" s="16" t="s">
        <v>171</v>
      </c>
      <c r="C54" s="16" t="s">
        <v>176</v>
      </c>
      <c r="D54" s="25">
        <v>-7.149</v>
      </c>
      <c r="E54" s="25">
        <v>-15.423</v>
      </c>
      <c r="F54" s="25">
        <v>-21.565000000000001</v>
      </c>
      <c r="G54" s="18" t="s">
        <v>56</v>
      </c>
      <c r="H54" s="18" t="s">
        <v>126</v>
      </c>
      <c r="I54" s="24" t="s">
        <v>177</v>
      </c>
    </row>
    <row r="55" spans="1:19" x14ac:dyDescent="0.3">
      <c r="A55" s="38" t="s">
        <v>123</v>
      </c>
      <c r="B55" s="38" t="s">
        <v>171</v>
      </c>
      <c r="C55" s="38" t="s">
        <v>178</v>
      </c>
      <c r="D55" s="39">
        <v>2618.2550000000001</v>
      </c>
      <c r="E55" s="39">
        <v>2534.183</v>
      </c>
      <c r="F55" s="39">
        <v>2731.989</v>
      </c>
      <c r="G55" s="40" t="s">
        <v>56</v>
      </c>
      <c r="H55" s="40" t="s">
        <v>126</v>
      </c>
      <c r="I55" s="41" t="s">
        <v>179</v>
      </c>
    </row>
    <row r="56" spans="1:19" s="32" customFormat="1" x14ac:dyDescent="0.3">
      <c r="A56" s="38" t="s">
        <v>123</v>
      </c>
      <c r="B56" s="38" t="s">
        <v>180</v>
      </c>
      <c r="C56" s="38" t="s">
        <v>181</v>
      </c>
      <c r="D56" s="39">
        <v>6973.7920000000004</v>
      </c>
      <c r="E56" s="39">
        <v>8155.6149999999998</v>
      </c>
      <c r="F56" s="39">
        <v>9519.6190000000006</v>
      </c>
      <c r="G56" s="40" t="s">
        <v>56</v>
      </c>
      <c r="H56" s="40" t="s">
        <v>126</v>
      </c>
      <c r="I56" s="41" t="s">
        <v>182</v>
      </c>
    </row>
    <row r="57" spans="1:19" x14ac:dyDescent="0.3">
      <c r="A57" s="16" t="s">
        <v>184</v>
      </c>
      <c r="B57" s="16" t="s">
        <v>185</v>
      </c>
      <c r="C57" s="16" t="s">
        <v>121</v>
      </c>
      <c r="D57" s="25">
        <v>-707.41700000000003</v>
      </c>
      <c r="E57" s="25">
        <v>-985.34500000000003</v>
      </c>
      <c r="F57" s="25">
        <v>-517.75699999999995</v>
      </c>
      <c r="G57" s="18" t="s">
        <v>56</v>
      </c>
      <c r="H57" s="18" t="s">
        <v>186</v>
      </c>
      <c r="I57" s="24" t="s">
        <v>187</v>
      </c>
    </row>
    <row r="58" spans="1:19" x14ac:dyDescent="0.3">
      <c r="A58" s="16" t="s">
        <v>184</v>
      </c>
      <c r="B58" s="43" t="s">
        <v>185</v>
      </c>
      <c r="C58" s="16" t="s">
        <v>188</v>
      </c>
      <c r="D58" s="17">
        <v>78.141999999999996</v>
      </c>
      <c r="E58" s="17">
        <v>125.476</v>
      </c>
      <c r="F58" s="17">
        <v>145.898</v>
      </c>
      <c r="G58" s="18" t="s">
        <v>56</v>
      </c>
      <c r="H58" s="18" t="s">
        <v>186</v>
      </c>
      <c r="I58" s="24" t="s">
        <v>189</v>
      </c>
      <c r="S58" t="s">
        <v>183</v>
      </c>
    </row>
    <row r="59" spans="1:19" x14ac:dyDescent="0.3">
      <c r="A59" s="16" t="s">
        <v>184</v>
      </c>
      <c r="B59" s="16" t="s">
        <v>185</v>
      </c>
      <c r="C59" s="16" t="s">
        <v>190</v>
      </c>
      <c r="D59" s="17">
        <v>396.16199999999998</v>
      </c>
      <c r="E59" s="17">
        <v>478.99799999999999</v>
      </c>
      <c r="F59" s="17">
        <v>339.572</v>
      </c>
      <c r="G59" s="18" t="s">
        <v>56</v>
      </c>
      <c r="H59" s="18" t="s">
        <v>186</v>
      </c>
      <c r="I59" s="24" t="s">
        <v>191</v>
      </c>
    </row>
    <row r="60" spans="1:19" x14ac:dyDescent="0.3">
      <c r="A60" s="16" t="s">
        <v>184</v>
      </c>
      <c r="B60" s="16" t="s">
        <v>185</v>
      </c>
      <c r="C60" s="16" t="s">
        <v>96</v>
      </c>
      <c r="D60" s="17">
        <v>255.27199999999999</v>
      </c>
      <c r="E60" s="17">
        <v>331.86</v>
      </c>
      <c r="F60" s="17">
        <v>460.62799999999999</v>
      </c>
      <c r="G60" s="18" t="s">
        <v>56</v>
      </c>
      <c r="H60" s="18" t="s">
        <v>186</v>
      </c>
      <c r="I60" s="24" t="s">
        <v>192</v>
      </c>
    </row>
    <row r="61" spans="1:19" x14ac:dyDescent="0.3">
      <c r="A61" s="8" t="s">
        <v>184</v>
      </c>
      <c r="B61" s="8" t="s">
        <v>185</v>
      </c>
      <c r="C61" s="8" t="s">
        <v>193</v>
      </c>
      <c r="D61" s="27">
        <v>-276.62400000000002</v>
      </c>
      <c r="E61" s="27">
        <v>-392.07499999999999</v>
      </c>
      <c r="F61" s="27">
        <v>-356.33199999999999</v>
      </c>
      <c r="G61" s="10" t="s">
        <v>56</v>
      </c>
      <c r="H61" s="10" t="s">
        <v>186</v>
      </c>
      <c r="I61" s="26" t="s">
        <v>194</v>
      </c>
    </row>
    <row r="62" spans="1:19" x14ac:dyDescent="0.3">
      <c r="A62" s="13" t="s">
        <v>184</v>
      </c>
      <c r="B62" s="13" t="s">
        <v>195</v>
      </c>
      <c r="C62" s="13" t="s">
        <v>196</v>
      </c>
      <c r="D62" s="20">
        <v>-136.33699999999999</v>
      </c>
      <c r="E62" s="20">
        <v>-225.452</v>
      </c>
      <c r="F62" s="20">
        <v>-263.20400000000001</v>
      </c>
      <c r="G62" s="15" t="s">
        <v>56</v>
      </c>
      <c r="H62" s="15" t="s">
        <v>186</v>
      </c>
      <c r="I62" s="23" t="s">
        <v>197</v>
      </c>
    </row>
    <row r="63" spans="1:19" x14ac:dyDescent="0.3">
      <c r="A63" s="8" t="s">
        <v>184</v>
      </c>
      <c r="B63" s="8" t="s">
        <v>195</v>
      </c>
      <c r="C63" s="8" t="s">
        <v>198</v>
      </c>
      <c r="D63" s="27">
        <v>-1684.7090000000001</v>
      </c>
      <c r="E63" s="27">
        <v>-1578.1020000000001</v>
      </c>
      <c r="F63" s="27">
        <v>-1231.105</v>
      </c>
      <c r="G63" s="10" t="s">
        <v>56</v>
      </c>
      <c r="H63" s="10" t="s">
        <v>186</v>
      </c>
      <c r="I63" s="26" t="s">
        <v>199</v>
      </c>
    </row>
    <row r="64" spans="1:19" x14ac:dyDescent="0.3">
      <c r="A64" s="8" t="s">
        <v>184</v>
      </c>
      <c r="B64" s="8" t="s">
        <v>200</v>
      </c>
      <c r="C64" s="8" t="s">
        <v>201</v>
      </c>
      <c r="D64" s="9">
        <v>1915.3389999999999</v>
      </c>
      <c r="E64" s="9">
        <v>1829.566</v>
      </c>
      <c r="F64" s="9">
        <v>1635.636</v>
      </c>
      <c r="G64" s="10" t="s">
        <v>56</v>
      </c>
      <c r="H64" s="10" t="s">
        <v>186</v>
      </c>
      <c r="I64" s="26" t="s">
        <v>202</v>
      </c>
    </row>
    <row r="65" spans="1:9" x14ac:dyDescent="0.3">
      <c r="A65" s="8" t="s">
        <v>184</v>
      </c>
      <c r="B65" s="8" t="s">
        <v>203</v>
      </c>
      <c r="C65" s="8" t="s">
        <v>203</v>
      </c>
      <c r="D65" s="27">
        <v>-412.96100000000001</v>
      </c>
      <c r="E65" s="27">
        <v>-617.52700000000004</v>
      </c>
      <c r="F65" s="27">
        <v>-619.53599999999994</v>
      </c>
      <c r="G65" s="10" t="s">
        <v>56</v>
      </c>
      <c r="H65" s="10" t="s">
        <v>204</v>
      </c>
      <c r="I65" s="26" t="s">
        <v>205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0216-030D-4430-A889-58BDD48D0BFB}">
  <dimension ref="A1:G22"/>
  <sheetViews>
    <sheetView workbookViewId="0">
      <selection sqref="A1:G22"/>
    </sheetView>
  </sheetViews>
  <sheetFormatPr defaultRowHeight="14.4" x14ac:dyDescent="0.3"/>
  <cols>
    <col min="1" max="1" width="23.6640625" customWidth="1"/>
    <col min="2" max="2" width="31.21875" customWidth="1"/>
    <col min="3" max="3" width="17.109375" customWidth="1"/>
    <col min="4" max="4" width="16.6640625" customWidth="1"/>
    <col min="5" max="5" width="15" customWidth="1"/>
    <col min="6" max="6" width="56.33203125" customWidth="1"/>
    <col min="7" max="7" width="51.88671875" customWidth="1"/>
  </cols>
  <sheetData>
    <row r="1" spans="1:7" x14ac:dyDescent="0.3">
      <c r="A1" s="1" t="s">
        <v>206</v>
      </c>
      <c r="B1" s="1" t="s">
        <v>37</v>
      </c>
      <c r="C1" s="1" t="s">
        <v>38</v>
      </c>
      <c r="D1" s="1" t="s">
        <v>39</v>
      </c>
      <c r="E1" s="1" t="s">
        <v>40</v>
      </c>
      <c r="F1" s="1" t="s">
        <v>207</v>
      </c>
      <c r="G1" s="1" t="s">
        <v>208</v>
      </c>
    </row>
    <row r="2" spans="1:7" x14ac:dyDescent="0.3">
      <c r="A2" t="s">
        <v>219</v>
      </c>
      <c r="B2" t="s">
        <v>44</v>
      </c>
      <c r="C2">
        <f>_xlfn.XLOOKUP($B2,Raw_10K_Extract!$C:$C,Raw_10K_Extract!$D:$D,"")</f>
        <v>15483.236999999999</v>
      </c>
      <c r="D2">
        <f>_xlfn.XLOOKUP($B2,Raw_10K_Extract!$C:$C,Raw_10K_Extract!$E:$E,"")</f>
        <v>20200</v>
      </c>
      <c r="E2">
        <f>_xlfn.XLOOKUP($B2,Raw_10K_Extract!$C:$C,Raw_10K_Extract!$F:$F,"")</f>
        <v>26600</v>
      </c>
      <c r="F2" t="s">
        <v>296</v>
      </c>
      <c r="G2" t="s">
        <v>220</v>
      </c>
    </row>
    <row r="3" spans="1:7" x14ac:dyDescent="0.3">
      <c r="A3" t="s">
        <v>219</v>
      </c>
      <c r="B3" t="s">
        <v>78</v>
      </c>
      <c r="C3">
        <f>_xlfn.XLOOKUP($B3,Raw_10K_Extract!$C:$C,Raw_10K_Extract!$D:$D,"")</f>
        <v>1349.2919999999999</v>
      </c>
      <c r="D3">
        <f>_xlfn.XLOOKUP($B3,Raw_10K_Extract!$C:$C,Raw_10K_Extract!$E:$E,"")</f>
        <v>1587.9849999999999</v>
      </c>
      <c r="E3">
        <f>_xlfn.XLOOKUP($B3,Raw_10K_Extract!$C:$C,Raw_10K_Extract!$F:$F,"")</f>
        <v>2322.9989999999998</v>
      </c>
      <c r="F3" t="s">
        <v>297</v>
      </c>
      <c r="G3" t="s">
        <v>221</v>
      </c>
    </row>
    <row r="4" spans="1:7" x14ac:dyDescent="0.3">
      <c r="A4" t="s">
        <v>112</v>
      </c>
      <c r="B4" t="s">
        <v>113</v>
      </c>
      <c r="C4">
        <f>_xlfn.XLOOKUP($B4,Raw_10K_Extract!$C:$C,Raw_10K_Extract!$D:$D,"")</f>
        <v>-866.048</v>
      </c>
      <c r="D4">
        <f>_xlfn.XLOOKUP($B4,Raw_10K_Extract!$C:$C,Raw_10K_Extract!$E:$E,"")</f>
        <v>-1200.8620000000001</v>
      </c>
      <c r="E4">
        <f>_xlfn.XLOOKUP($B4,Raw_10K_Extract!$C:$C,Raw_10K_Extract!$F:$F,"")</f>
        <v>-615.84699999999998</v>
      </c>
      <c r="F4" t="s">
        <v>298</v>
      </c>
      <c r="G4" t="s">
        <v>222</v>
      </c>
    </row>
    <row r="5" spans="1:7" x14ac:dyDescent="0.3">
      <c r="A5" t="s">
        <v>112</v>
      </c>
      <c r="B5" t="s">
        <v>121</v>
      </c>
      <c r="C5">
        <f>_xlfn.XLOOKUP($B5,Raw_10K_Extract!$C:$C,Raw_10K_Extract!$D:$D,"")</f>
        <v>-707.41700000000003</v>
      </c>
      <c r="D5">
        <f>_xlfn.XLOOKUP($B5,Raw_10K_Extract!$C:$C,Raw_10K_Extract!$E:$E,"")</f>
        <v>-985.34500000000003</v>
      </c>
      <c r="E5">
        <f>_xlfn.XLOOKUP($B5,Raw_10K_Extract!$C:$C,Raw_10K_Extract!$F:$F,"")</f>
        <v>-517.75699999999995</v>
      </c>
      <c r="F5" t="s">
        <v>299</v>
      </c>
      <c r="G5" t="s">
        <v>223</v>
      </c>
    </row>
    <row r="6" spans="1:7" x14ac:dyDescent="0.3">
      <c r="A6" t="s">
        <v>224</v>
      </c>
      <c r="B6" t="s">
        <v>203</v>
      </c>
      <c r="C6">
        <f>_xlfn.XLOOKUP($B6,Raw_10K_Extract!$C:$C,Raw_10K_Extract!$D:$D,"")</f>
        <v>-412.96100000000001</v>
      </c>
      <c r="D6">
        <f>_xlfn.XLOOKUP($B6,Raw_10K_Extract!$C:$C,Raw_10K_Extract!$E:$E,"")</f>
        <v>-617.52700000000004</v>
      </c>
      <c r="E6">
        <f>_xlfn.XLOOKUP($B6,Raw_10K_Extract!$C:$C,Raw_10K_Extract!$F:$F,"")</f>
        <v>-619.53599999999994</v>
      </c>
      <c r="F6" t="s">
        <v>300</v>
      </c>
      <c r="G6" t="s">
        <v>225</v>
      </c>
    </row>
    <row r="7" spans="1:7" x14ac:dyDescent="0.3">
      <c r="A7" t="s">
        <v>226</v>
      </c>
      <c r="B7" t="s">
        <v>209</v>
      </c>
      <c r="C7" t="str">
        <f>_xlfn.XLOOKUP($B7,Raw_10K_Extract!$C:$C,Raw_10K_Extract!$D:$D,"")</f>
        <v/>
      </c>
      <c r="D7" s="44">
        <f>D2/C2-1</f>
        <v>0.30463675005426838</v>
      </c>
      <c r="E7" s="44">
        <f>E2/D2-1</f>
        <v>0.31683168316831689</v>
      </c>
      <c r="F7" t="s">
        <v>307</v>
      </c>
      <c r="G7" t="s">
        <v>227</v>
      </c>
    </row>
    <row r="8" spans="1:7" x14ac:dyDescent="0.3">
      <c r="A8" t="s">
        <v>226</v>
      </c>
      <c r="B8" t="s">
        <v>210</v>
      </c>
      <c r="C8" t="str">
        <f>_xlfn.XLOOKUP($B8,Raw_10K_Extract!$C:$C,Raw_10K_Extract!$D:$D,"")</f>
        <v/>
      </c>
      <c r="D8" s="44">
        <f>D3/C3-1</f>
        <v>0.17690240511320021</v>
      </c>
      <c r="E8" s="44">
        <f>E3/D3-1</f>
        <v>0.46285953582684969</v>
      </c>
      <c r="F8" t="s">
        <v>308</v>
      </c>
      <c r="G8" t="s">
        <v>228</v>
      </c>
    </row>
    <row r="9" spans="1:7" x14ac:dyDescent="0.3">
      <c r="A9" t="s">
        <v>229</v>
      </c>
      <c r="B9" t="s">
        <v>211</v>
      </c>
      <c r="C9" s="44">
        <f>C3/C2</f>
        <v>8.7145343057139793E-2</v>
      </c>
      <c r="D9" s="44">
        <f>D3/D2</f>
        <v>7.8613118811881183E-2</v>
      </c>
      <c r="E9" s="44">
        <f>E3/E2</f>
        <v>8.7330789473684209E-2</v>
      </c>
      <c r="F9" t="s">
        <v>230</v>
      </c>
      <c r="G9" t="s">
        <v>230</v>
      </c>
    </row>
    <row r="10" spans="1:7" x14ac:dyDescent="0.3">
      <c r="A10" t="s">
        <v>231</v>
      </c>
      <c r="B10" t="s">
        <v>212</v>
      </c>
      <c r="C10" s="45">
        <f>255.272/C2</f>
        <v>1.6486991705933325E-2</v>
      </c>
      <c r="D10" s="45">
        <f t="shared" ref="D10:E10" si="0">255.272/D2</f>
        <v>1.2637227722772277E-2</v>
      </c>
      <c r="E10" s="45">
        <f t="shared" si="0"/>
        <v>9.5966917293233076E-3</v>
      </c>
      <c r="F10" t="s">
        <v>232</v>
      </c>
      <c r="G10" t="s">
        <v>232</v>
      </c>
    </row>
    <row r="11" spans="1:7" x14ac:dyDescent="0.3">
      <c r="A11" t="s">
        <v>112</v>
      </c>
      <c r="B11" t="s">
        <v>213</v>
      </c>
      <c r="C11" s="44">
        <f>C4/C3</f>
        <v>-0.64185365361982438</v>
      </c>
      <c r="D11" s="44">
        <f t="shared" ref="D11:E11" si="1">D4/D3</f>
        <v>-0.756217470568047</v>
      </c>
      <c r="E11" s="44">
        <f t="shared" si="1"/>
        <v>-0.26510859453663133</v>
      </c>
      <c r="F11" t="s">
        <v>309</v>
      </c>
      <c r="G11" t="s">
        <v>233</v>
      </c>
    </row>
    <row r="12" spans="1:7" x14ac:dyDescent="0.3">
      <c r="A12" t="s">
        <v>112</v>
      </c>
      <c r="B12" t="s">
        <v>214</v>
      </c>
      <c r="C12" s="44">
        <f>C5/C3</f>
        <v>-0.52428755228668078</v>
      </c>
      <c r="D12" s="44">
        <f t="shared" ref="D12:E12" si="2">D5/D3</f>
        <v>-0.62050019364162767</v>
      </c>
      <c r="E12" s="44">
        <f t="shared" si="2"/>
        <v>-0.22288300597632629</v>
      </c>
      <c r="F12" t="s">
        <v>310</v>
      </c>
      <c r="G12" t="s">
        <v>234</v>
      </c>
    </row>
    <row r="13" spans="1:7" x14ac:dyDescent="0.3">
      <c r="A13" t="s">
        <v>224</v>
      </c>
      <c r="B13" t="s">
        <v>215</v>
      </c>
      <c r="C13" s="44">
        <f>C6/C3</f>
        <v>-0.30605754721735551</v>
      </c>
      <c r="D13" s="44">
        <f t="shared" ref="D13:E13" si="3">D6/D3</f>
        <v>-0.38887458004955971</v>
      </c>
      <c r="E13" s="44">
        <f t="shared" si="3"/>
        <v>-0.26669662793655957</v>
      </c>
      <c r="F13" t="s">
        <v>235</v>
      </c>
      <c r="G13" t="s">
        <v>235</v>
      </c>
    </row>
    <row r="14" spans="1:7" x14ac:dyDescent="0.3">
      <c r="A14" t="s">
        <v>236</v>
      </c>
      <c r="B14" t="s">
        <v>45</v>
      </c>
      <c r="C14">
        <f>_xlfn.XLOOKUP($B14,Raw_10K_Extract!$C:$C,Raw_10K_Extract!$D:$D,"")</f>
        <v>13.98</v>
      </c>
      <c r="D14">
        <f>_xlfn.XLOOKUP($B14,Raw_10K_Extract!$C:$C,Raw_10K_Extract!$E:$E,"")</f>
        <v>16.469000000000001</v>
      </c>
      <c r="E14">
        <f>_xlfn.XLOOKUP($B14,Raw_10K_Extract!$C:$C,Raw_10K_Extract!$F:$F,"")</f>
        <v>18.713000000000001</v>
      </c>
      <c r="F14" t="s">
        <v>301</v>
      </c>
      <c r="G14" t="s">
        <v>237</v>
      </c>
    </row>
    <row r="15" spans="1:7" x14ac:dyDescent="0.3">
      <c r="A15" t="s">
        <v>236</v>
      </c>
      <c r="B15" t="s">
        <v>216</v>
      </c>
      <c r="C15" t="str">
        <f>_xlfn.XLOOKUP($B15,Raw_10K_Extract!$C:$C,Raw_10K_Extract!$D:$D,"")</f>
        <v/>
      </c>
      <c r="D15" s="44">
        <f>D14/C14-1</f>
        <v>0.17804005722460658</v>
      </c>
      <c r="E15" s="44">
        <f>E14/D14-1</f>
        <v>0.13625599611391093</v>
      </c>
      <c r="F15" t="s">
        <v>311</v>
      </c>
      <c r="G15" t="s">
        <v>238</v>
      </c>
    </row>
    <row r="16" spans="1:7" x14ac:dyDescent="0.3">
      <c r="A16" t="s">
        <v>236</v>
      </c>
      <c r="B16" t="s">
        <v>47</v>
      </c>
      <c r="C16">
        <f>_xlfn.XLOOKUP($B16,Raw_10K_Extract!$C:$C,Raw_10K_Extract!$D:$D,"")</f>
        <v>3</v>
      </c>
      <c r="D16">
        <f>_xlfn.XLOOKUP($B16,Raw_10K_Extract!$C:$C,Raw_10K_Extract!$E:$E,"")</f>
        <v>3.9</v>
      </c>
      <c r="E16">
        <f>_xlfn.XLOOKUP($B16,Raw_10K_Extract!$C:$C,Raw_10K_Extract!$F:$F,"")</f>
        <v>4.9000000000000004</v>
      </c>
      <c r="F16" t="s">
        <v>302</v>
      </c>
      <c r="G16" t="s">
        <v>239</v>
      </c>
    </row>
    <row r="17" spans="1:7" x14ac:dyDescent="0.3">
      <c r="A17" t="s">
        <v>123</v>
      </c>
      <c r="B17" t="s">
        <v>138</v>
      </c>
      <c r="C17">
        <f>_xlfn.XLOOKUP($B17,Raw_10K_Extract!$C:$C,Raw_10K_Extract!$D:$D,"")</f>
        <v>2348.1689999999999</v>
      </c>
      <c r="D17">
        <f>_xlfn.XLOOKUP($B17,Raw_10K_Extract!$C:$C,Raw_10K_Extract!$E:$E,"")</f>
        <v>4198.4309999999996</v>
      </c>
      <c r="E17">
        <f>_xlfn.XLOOKUP($B17,Raw_10K_Extract!$C:$C,Raw_10K_Extract!$F:$F,"")</f>
        <v>5360.9589999999998</v>
      </c>
      <c r="F17" t="s">
        <v>303</v>
      </c>
      <c r="G17" t="s">
        <v>240</v>
      </c>
    </row>
    <row r="18" spans="1:7" x14ac:dyDescent="0.3">
      <c r="A18" t="s">
        <v>123</v>
      </c>
      <c r="B18" t="s">
        <v>152</v>
      </c>
      <c r="C18">
        <f>_xlfn.XLOOKUP($B18,Raw_10K_Extract!$C:$C,Raw_10K_Extract!$D:$D,"")</f>
        <v>6973.7920000000004</v>
      </c>
      <c r="D18">
        <f>_xlfn.XLOOKUP($B18,Raw_10K_Extract!$C:$C,Raw_10K_Extract!$E:$E,"")</f>
        <v>8155.6149999999998</v>
      </c>
      <c r="E18">
        <f>_xlfn.XLOOKUP($B18,Raw_10K_Extract!$C:$C,Raw_10K_Extract!$F:$F,"")</f>
        <v>9519.6190000000006</v>
      </c>
      <c r="F18" t="s">
        <v>304</v>
      </c>
      <c r="G18" t="s">
        <v>241</v>
      </c>
    </row>
    <row r="19" spans="1:7" x14ac:dyDescent="0.3">
      <c r="A19" t="s">
        <v>123</v>
      </c>
      <c r="B19" t="s">
        <v>169</v>
      </c>
      <c r="C19">
        <f>_xlfn.XLOOKUP($B19,Raw_10K_Extract!$C:$C,Raw_10K_Extract!$D:$D,"")</f>
        <v>4355.5370000000003</v>
      </c>
      <c r="D19">
        <f>_xlfn.XLOOKUP($B19,Raw_10K_Extract!$C:$C,Raw_10K_Extract!$E:$E,"")</f>
        <v>5621.4319999999998</v>
      </c>
      <c r="E19">
        <f>_xlfn.XLOOKUP($B19,Raw_10K_Extract!$C:$C,Raw_10K_Extract!$F:$F,"")</f>
        <v>6787.63</v>
      </c>
      <c r="F19" t="s">
        <v>305</v>
      </c>
      <c r="G19" t="s">
        <v>242</v>
      </c>
    </row>
    <row r="20" spans="1:7" x14ac:dyDescent="0.3">
      <c r="A20" t="s">
        <v>123</v>
      </c>
      <c r="B20" t="s">
        <v>178</v>
      </c>
      <c r="C20">
        <f>_xlfn.XLOOKUP($B20,Raw_10K_Extract!$C:$C,Raw_10K_Extract!$D:$D,"")</f>
        <v>2618.2550000000001</v>
      </c>
      <c r="D20">
        <f>_xlfn.XLOOKUP($B20,Raw_10K_Extract!$C:$C,Raw_10K_Extract!$E:$E,"")</f>
        <v>2534.183</v>
      </c>
      <c r="E20">
        <f>_xlfn.XLOOKUP($B20,Raw_10K_Extract!$C:$C,Raw_10K_Extract!$F:$F,"")</f>
        <v>2731.989</v>
      </c>
      <c r="F20" t="s">
        <v>306</v>
      </c>
      <c r="G20" t="s">
        <v>243</v>
      </c>
    </row>
    <row r="21" spans="1:7" x14ac:dyDescent="0.3">
      <c r="A21" t="s">
        <v>244</v>
      </c>
      <c r="B21" t="s">
        <v>217</v>
      </c>
      <c r="C21" s="44">
        <f>C19/C18</f>
        <v>0.62455791626707535</v>
      </c>
      <c r="D21" s="44">
        <f t="shared" ref="D21:E21" si="4">D19/D18</f>
        <v>0.68927137928899296</v>
      </c>
      <c r="E21" s="44">
        <f t="shared" si="4"/>
        <v>0.71301488011232383</v>
      </c>
      <c r="F21" t="s">
        <v>312</v>
      </c>
      <c r="G21" t="s">
        <v>245</v>
      </c>
    </row>
    <row r="22" spans="1:7" x14ac:dyDescent="0.3">
      <c r="A22" t="s">
        <v>246</v>
      </c>
      <c r="B22" t="s">
        <v>218</v>
      </c>
      <c r="C22" s="44">
        <f>C20/C18</f>
        <v>0.37544208373292465</v>
      </c>
      <c r="D22" s="44">
        <f t="shared" ref="D22:E22" si="5">D20/D18</f>
        <v>0.3107286207110071</v>
      </c>
      <c r="E22" s="44">
        <f t="shared" si="5"/>
        <v>0.28698511988767617</v>
      </c>
      <c r="F22" t="s">
        <v>313</v>
      </c>
      <c r="G22" t="s">
        <v>247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2440-7DF0-411F-A418-DEA2A545AAB9}">
  <dimension ref="A1:F27"/>
  <sheetViews>
    <sheetView workbookViewId="0">
      <selection activeCell="A2" sqref="A2"/>
    </sheetView>
  </sheetViews>
  <sheetFormatPr defaultRowHeight="14.4" x14ac:dyDescent="0.3"/>
  <cols>
    <col min="1" max="1" width="42.5546875" customWidth="1"/>
    <col min="2" max="2" width="13.109375" customWidth="1"/>
    <col min="3" max="3" width="13.6640625" customWidth="1"/>
    <col min="4" max="4" width="14.6640625" customWidth="1"/>
    <col min="5" max="5" width="20.77734375" customWidth="1"/>
    <col min="6" max="6" width="21.6640625" customWidth="1"/>
  </cols>
  <sheetData>
    <row r="1" spans="1:6" ht="15.6" x14ac:dyDescent="0.35">
      <c r="A1" s="48" t="s">
        <v>248</v>
      </c>
    </row>
    <row r="2" spans="1:6" x14ac:dyDescent="0.3">
      <c r="A2" s="89" t="s">
        <v>56</v>
      </c>
    </row>
    <row r="4" spans="1:6" x14ac:dyDescent="0.3">
      <c r="A4" s="49" t="s">
        <v>249</v>
      </c>
      <c r="B4" s="49" t="s">
        <v>38</v>
      </c>
      <c r="C4" s="49" t="s">
        <v>39</v>
      </c>
      <c r="D4" s="49" t="s">
        <v>40</v>
      </c>
      <c r="E4" s="49" t="s">
        <v>250</v>
      </c>
      <c r="F4" s="49" t="s">
        <v>251</v>
      </c>
    </row>
    <row r="5" spans="1:6" x14ac:dyDescent="0.3">
      <c r="A5" t="s">
        <v>79</v>
      </c>
      <c r="B5">
        <f>Raw_10K_Extract!D9</f>
        <v>458.51100000000002</v>
      </c>
      <c r="C5">
        <f>Raw_10K_Extract!E9</f>
        <v>507.6</v>
      </c>
      <c r="D5">
        <f>Raw_10K_Extract!F9</f>
        <v>674.60699999999997</v>
      </c>
      <c r="E5" s="44">
        <f>IFERROR(C5/B5-1,"")</f>
        <v>0.10706177169140974</v>
      </c>
      <c r="F5" s="44">
        <f>IFERROR(D5/C5-1,"")</f>
        <v>0.32901300236406605</v>
      </c>
    </row>
    <row r="6" spans="1:6" x14ac:dyDescent="0.3">
      <c r="A6" t="s">
        <v>82</v>
      </c>
      <c r="B6">
        <f>Raw_10K_Extract!D10</f>
        <v>100.696</v>
      </c>
      <c r="C6">
        <f>Raw_10K_Extract!E10</f>
        <v>119.33799999999999</v>
      </c>
      <c r="D6">
        <f>Raw_10K_Extract!F10</f>
        <v>151.40100000000001</v>
      </c>
      <c r="E6" s="44">
        <f t="shared" ref="E6:E27" si="0">IFERROR(C6/B6-1,"")</f>
        <v>0.18513148486533715</v>
      </c>
      <c r="F6" s="44">
        <f t="shared" ref="F6:F27" si="1">IFERROR(D6/C6-1,"")</f>
        <v>0.26867385074326711</v>
      </c>
    </row>
    <row r="7" spans="1:6" x14ac:dyDescent="0.3">
      <c r="A7" s="46" t="s">
        <v>84</v>
      </c>
      <c r="B7" s="47">
        <f>Raw_10K_Extract!D11</f>
        <v>559.20699999999999</v>
      </c>
      <c r="C7" s="47">
        <f>Raw_10K_Extract!E11</f>
        <v>626.93799999999999</v>
      </c>
      <c r="D7" s="47">
        <f>Raw_10K_Extract!F11</f>
        <v>826.00800000000004</v>
      </c>
      <c r="E7" s="50">
        <f t="shared" si="0"/>
        <v>0.12111972847264063</v>
      </c>
      <c r="F7" s="50">
        <f t="shared" si="1"/>
        <v>0.31752741100395898</v>
      </c>
    </row>
    <row r="8" spans="1:6" x14ac:dyDescent="0.3">
      <c r="A8" t="s">
        <v>86</v>
      </c>
      <c r="B8">
        <f>Raw_10K_Extract!D12</f>
        <v>527.88</v>
      </c>
      <c r="C8">
        <f>Raw_10K_Extract!E12</f>
        <v>685.21699999999998</v>
      </c>
      <c r="D8">
        <f>Raw_10K_Extract!F12</f>
        <v>1204.355</v>
      </c>
      <c r="E8" s="44">
        <f t="shared" si="0"/>
        <v>0.29805448207926033</v>
      </c>
      <c r="F8" s="44">
        <f t="shared" si="1"/>
        <v>0.7576256864613693</v>
      </c>
    </row>
    <row r="9" spans="1:6" x14ac:dyDescent="0.3">
      <c r="A9" t="s">
        <v>88</v>
      </c>
      <c r="B9">
        <f>Raw_10K_Extract!D13</f>
        <v>196.435</v>
      </c>
      <c r="C9">
        <f>Raw_10K_Extract!E13</f>
        <v>188.34100000000001</v>
      </c>
      <c r="D9">
        <f>Raw_10K_Extract!F13</f>
        <v>197.15299999999999</v>
      </c>
      <c r="E9" s="44">
        <f t="shared" si="0"/>
        <v>-4.1204469671901611E-2</v>
      </c>
      <c r="F9" s="44">
        <f t="shared" si="1"/>
        <v>4.6787475908060205E-2</v>
      </c>
    </row>
    <row r="10" spans="1:6" x14ac:dyDescent="0.3">
      <c r="A10" t="s">
        <v>90</v>
      </c>
      <c r="B10">
        <f>Raw_10K_Extract!D14</f>
        <v>65.77</v>
      </c>
      <c r="C10">
        <f>Raw_10K_Extract!E14</f>
        <v>87.489000000000004</v>
      </c>
      <c r="D10">
        <f>Raw_10K_Extract!F14</f>
        <v>95.483000000000004</v>
      </c>
      <c r="E10" s="44">
        <f t="shared" si="0"/>
        <v>0.33022654705792931</v>
      </c>
      <c r="F10" s="44">
        <f t="shared" si="1"/>
        <v>9.1371486701185223E-2</v>
      </c>
    </row>
    <row r="11" spans="1:6" x14ac:dyDescent="0.3">
      <c r="A11" s="46" t="s">
        <v>78</v>
      </c>
      <c r="B11" s="47">
        <f>Raw_10K_Extract!D15</f>
        <v>1349.2919999999999</v>
      </c>
      <c r="C11" s="47">
        <f>Raw_10K_Extract!E15</f>
        <v>1587.9849999999999</v>
      </c>
      <c r="D11" s="47">
        <f>Raw_10K_Extract!F15</f>
        <v>2322.9989999999998</v>
      </c>
      <c r="E11" s="50">
        <f t="shared" si="0"/>
        <v>0.17690240511320021</v>
      </c>
      <c r="F11" s="50">
        <f t="shared" si="1"/>
        <v>0.46285953582684969</v>
      </c>
    </row>
    <row r="12" spans="1:6" x14ac:dyDescent="0.3">
      <c r="E12" s="44" t="str">
        <f t="shared" si="0"/>
        <v/>
      </c>
      <c r="F12" s="44" t="str">
        <f t="shared" si="1"/>
        <v/>
      </c>
    </row>
    <row r="13" spans="1:6" x14ac:dyDescent="0.3">
      <c r="A13" t="s">
        <v>94</v>
      </c>
      <c r="B13">
        <f>Raw_10K_Extract!D16</f>
        <v>204.08099999999999</v>
      </c>
      <c r="C13">
        <f>Raw_10K_Extract!E16</f>
        <v>140.26499999999999</v>
      </c>
      <c r="D13">
        <f>Raw_10K_Extract!F16</f>
        <v>180.39500000000001</v>
      </c>
      <c r="E13" s="44">
        <f t="shared" si="0"/>
        <v>-0.3126993693680451</v>
      </c>
      <c r="F13" s="44">
        <f t="shared" si="1"/>
        <v>0.28610130823797841</v>
      </c>
    </row>
    <row r="14" spans="1:6" x14ac:dyDescent="0.3">
      <c r="A14" t="s">
        <v>96</v>
      </c>
      <c r="B14">
        <f>Raw_10K_Extract!D17</f>
        <v>255.27199999999999</v>
      </c>
      <c r="C14">
        <f>Raw_10K_Extract!E17</f>
        <v>331.86</v>
      </c>
      <c r="D14">
        <f>Raw_10K_Extract!F17</f>
        <v>460.62799999999999</v>
      </c>
      <c r="E14" s="44">
        <f t="shared" si="0"/>
        <v>0.30002507129649958</v>
      </c>
      <c r="F14" s="44">
        <f t="shared" si="1"/>
        <v>0.38801904417525446</v>
      </c>
    </row>
    <row r="15" spans="1:6" x14ac:dyDescent="0.3">
      <c r="A15" t="s">
        <v>98</v>
      </c>
      <c r="B15">
        <f>Raw_10K_Extract!D18</f>
        <v>69.694000000000003</v>
      </c>
      <c r="C15">
        <f>Raw_10K_Extract!E18</f>
        <v>183.01300000000001</v>
      </c>
      <c r="D15">
        <f>Raw_10K_Extract!F18</f>
        <v>344.25299999999999</v>
      </c>
      <c r="E15" s="44">
        <f t="shared" si="0"/>
        <v>1.6259505839814046</v>
      </c>
      <c r="F15" s="44">
        <f t="shared" si="1"/>
        <v>0.88103030932228843</v>
      </c>
    </row>
    <row r="16" spans="1:6" x14ac:dyDescent="0.3">
      <c r="A16" t="s">
        <v>100</v>
      </c>
      <c r="B16">
        <f>Raw_10K_Extract!D19</f>
        <v>157.81399999999999</v>
      </c>
      <c r="C16">
        <f>Raw_10K_Extract!E19</f>
        <v>257.34300000000002</v>
      </c>
      <c r="D16">
        <f>Raw_10K_Extract!F19</f>
        <v>343.24900000000002</v>
      </c>
      <c r="E16" s="44">
        <f t="shared" si="0"/>
        <v>0.63067281736728065</v>
      </c>
      <c r="F16" s="44">
        <f t="shared" si="1"/>
        <v>0.33381906638222136</v>
      </c>
    </row>
    <row r="17" spans="1:6" x14ac:dyDescent="0.3">
      <c r="A17" t="s">
        <v>102</v>
      </c>
      <c r="B17">
        <f>Raw_10K_Extract!D20</f>
        <v>418.64299999999997</v>
      </c>
      <c r="C17">
        <f>Raw_10K_Extract!E20</f>
        <v>615.81799999999998</v>
      </c>
      <c r="D17">
        <f>Raw_10K_Extract!F20</f>
        <v>501.85700000000003</v>
      </c>
      <c r="E17" s="44">
        <f t="shared" si="0"/>
        <v>0.47098601911413795</v>
      </c>
      <c r="F17" s="44">
        <f t="shared" si="1"/>
        <v>-0.18505629910135779</v>
      </c>
    </row>
    <row r="18" spans="1:6" x14ac:dyDescent="0.3">
      <c r="A18" t="s">
        <v>104</v>
      </c>
      <c r="B18">
        <f>Raw_10K_Extract!D21</f>
        <v>532.34299999999996</v>
      </c>
      <c r="C18">
        <f>Raw_10K_Extract!E21</f>
        <v>638.28</v>
      </c>
      <c r="D18">
        <f>Raw_10K_Extract!F21</f>
        <v>576.40499999999997</v>
      </c>
      <c r="E18" s="44">
        <f t="shared" si="0"/>
        <v>0.19900139571667141</v>
      </c>
      <c r="F18" s="44">
        <f t="shared" si="1"/>
        <v>-9.6940214326001084E-2</v>
      </c>
    </row>
    <row r="19" spans="1:6" x14ac:dyDescent="0.3">
      <c r="A19" t="s">
        <v>106</v>
      </c>
      <c r="B19">
        <f>Raw_10K_Extract!D22</f>
        <v>577.49300000000005</v>
      </c>
      <c r="C19">
        <f>Raw_10K_Extract!E22</f>
        <v>586.39800000000002</v>
      </c>
      <c r="D19">
        <f>Raw_10K_Extract!F22</f>
        <v>525.29100000000005</v>
      </c>
      <c r="E19" s="44">
        <f t="shared" si="0"/>
        <v>1.5420100330220343E-2</v>
      </c>
      <c r="F19" s="44">
        <f t="shared" si="1"/>
        <v>-0.10420738133486129</v>
      </c>
    </row>
    <row r="20" spans="1:6" x14ac:dyDescent="0.3">
      <c r="A20" t="s">
        <v>108</v>
      </c>
      <c r="B20">
        <f>Raw_10K_Extract!D23</f>
        <v>0</v>
      </c>
      <c r="C20">
        <f>Raw_10K_Extract!E23</f>
        <v>35.869999999999997</v>
      </c>
      <c r="D20">
        <f>Raw_10K_Extract!F23</f>
        <v>6.7679999999999998</v>
      </c>
      <c r="E20" s="44" t="str">
        <f t="shared" si="0"/>
        <v/>
      </c>
      <c r="F20" s="44">
        <f t="shared" si="1"/>
        <v>-0.811318650683022</v>
      </c>
    </row>
    <row r="21" spans="1:6" x14ac:dyDescent="0.3">
      <c r="A21" s="46" t="s">
        <v>110</v>
      </c>
      <c r="B21" s="47">
        <f>Raw_10K_Extract!D24</f>
        <v>2215.34</v>
      </c>
      <c r="C21" s="47">
        <f>Raw_10K_Extract!E24</f>
        <v>2788.8470000000002</v>
      </c>
      <c r="D21" s="47">
        <f>Raw_10K_Extract!F24</f>
        <v>2938.846</v>
      </c>
      <c r="E21" s="50">
        <f t="shared" si="0"/>
        <v>0.25887990105356296</v>
      </c>
      <c r="F21" s="50">
        <f t="shared" si="1"/>
        <v>5.3785309843100038E-2</v>
      </c>
    </row>
    <row r="22" spans="1:6" x14ac:dyDescent="0.3">
      <c r="E22" s="44" t="str">
        <f t="shared" si="0"/>
        <v/>
      </c>
      <c r="F22" s="44" t="str">
        <f t="shared" si="1"/>
        <v/>
      </c>
    </row>
    <row r="23" spans="1:6" x14ac:dyDescent="0.3">
      <c r="A23" s="46" t="s">
        <v>113</v>
      </c>
      <c r="B23" s="47">
        <f>Raw_10K_Extract!D25</f>
        <v>-866.048</v>
      </c>
      <c r="C23" s="47">
        <f>Raw_10K_Extract!E25</f>
        <v>-1200.8620000000001</v>
      </c>
      <c r="D23" s="47">
        <f>Raw_10K_Extract!F25</f>
        <v>-615.84699999999998</v>
      </c>
      <c r="E23" s="50">
        <f t="shared" si="0"/>
        <v>0.38659981894767959</v>
      </c>
      <c r="F23" s="50">
        <f t="shared" si="1"/>
        <v>-0.48716255489806493</v>
      </c>
    </row>
    <row r="24" spans="1:6" x14ac:dyDescent="0.3">
      <c r="A24" t="s">
        <v>115</v>
      </c>
      <c r="B24">
        <f>Raw_10K_Extract!D26</f>
        <v>141.21700000000001</v>
      </c>
      <c r="C24">
        <f>Raw_10K_Extract!E26</f>
        <v>211.61699999999999</v>
      </c>
      <c r="D24">
        <f>Raw_10K_Extract!F26</f>
        <v>100.32</v>
      </c>
      <c r="E24" s="44">
        <f t="shared" si="0"/>
        <v>0.49852354886451322</v>
      </c>
      <c r="F24" s="44">
        <f t="shared" si="1"/>
        <v>-0.52593600703157117</v>
      </c>
    </row>
    <row r="25" spans="1:6" x14ac:dyDescent="0.3">
      <c r="A25" t="s">
        <v>117</v>
      </c>
      <c r="B25">
        <f>Raw_10K_Extract!D27</f>
        <v>-724.83100000000002</v>
      </c>
      <c r="C25">
        <f>Raw_10K_Extract!E27</f>
        <v>-989.245</v>
      </c>
      <c r="D25">
        <f>Raw_10K_Extract!F27</f>
        <v>-515.52700000000004</v>
      </c>
      <c r="E25" s="44">
        <f t="shared" si="0"/>
        <v>0.36479400025661146</v>
      </c>
      <c r="F25" s="44">
        <f t="shared" si="1"/>
        <v>-0.47886822778988014</v>
      </c>
    </row>
    <row r="26" spans="1:6" x14ac:dyDescent="0.3">
      <c r="A26" t="s">
        <v>119</v>
      </c>
      <c r="B26">
        <f>Raw_10K_Extract!D28</f>
        <v>-17.414000000000001</v>
      </c>
      <c r="C26">
        <f>Raw_10K_Extract!E28</f>
        <v>-3.9</v>
      </c>
      <c r="D26">
        <f>Raw_10K_Extract!F28</f>
        <v>2.23</v>
      </c>
      <c r="E26" s="44">
        <f t="shared" si="0"/>
        <v>-0.7760422648443781</v>
      </c>
      <c r="F26" s="44">
        <f t="shared" si="1"/>
        <v>-1.5717948717948718</v>
      </c>
    </row>
    <row r="27" spans="1:6" x14ac:dyDescent="0.3">
      <c r="A27" s="46" t="s">
        <v>121</v>
      </c>
      <c r="B27" s="47">
        <f>Raw_10K_Extract!D29</f>
        <v>-707.41700000000003</v>
      </c>
      <c r="C27" s="47">
        <f>Raw_10K_Extract!E29</f>
        <v>-985.34500000000003</v>
      </c>
      <c r="D27" s="47">
        <f>Raw_10K_Extract!F29</f>
        <v>-517.75699999999995</v>
      </c>
      <c r="E27" s="50">
        <f t="shared" si="0"/>
        <v>0.39287718559209073</v>
      </c>
      <c r="F27" s="50">
        <f t="shared" si="1"/>
        <v>-0.47454241915268258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50DA6-CD24-48D9-9D6F-345CC18E6663}">
  <dimension ref="A1:F33"/>
  <sheetViews>
    <sheetView workbookViewId="0">
      <selection activeCell="A2" sqref="A2"/>
    </sheetView>
  </sheetViews>
  <sheetFormatPr defaultRowHeight="14.4" x14ac:dyDescent="0.3"/>
  <cols>
    <col min="1" max="1" width="52.109375" customWidth="1"/>
    <col min="2" max="2" width="16" customWidth="1"/>
    <col min="3" max="3" width="16.5546875" customWidth="1"/>
    <col min="4" max="4" width="19.77734375" customWidth="1"/>
    <col min="5" max="5" width="15.5546875" customWidth="1"/>
    <col min="6" max="6" width="26" customWidth="1"/>
  </cols>
  <sheetData>
    <row r="1" spans="1:6" ht="15.6" x14ac:dyDescent="0.35">
      <c r="A1" s="48" t="s">
        <v>252</v>
      </c>
    </row>
    <row r="2" spans="1:6" ht="15" thickBot="1" x14ac:dyDescent="0.35">
      <c r="A2" s="87" t="s">
        <v>56</v>
      </c>
    </row>
    <row r="4" spans="1:6" x14ac:dyDescent="0.3">
      <c r="A4" s="56" t="s">
        <v>249</v>
      </c>
      <c r="B4" s="49" t="s">
        <v>38</v>
      </c>
      <c r="C4" s="49" t="s">
        <v>39</v>
      </c>
      <c r="D4" s="49" t="s">
        <v>40</v>
      </c>
      <c r="E4" s="49" t="s">
        <v>250</v>
      </c>
      <c r="F4" s="49" t="s">
        <v>251</v>
      </c>
    </row>
    <row r="5" spans="1:6" x14ac:dyDescent="0.3">
      <c r="A5" t="s">
        <v>125</v>
      </c>
      <c r="B5">
        <f>Raw_10K_Extract!D30</f>
        <v>1255.171</v>
      </c>
      <c r="C5">
        <f>Raw_10K_Extract!E30</f>
        <v>892.02700000000004</v>
      </c>
      <c r="D5">
        <f>Raw_10K_Extract!F30</f>
        <v>1013.106</v>
      </c>
      <c r="E5" s="45">
        <f t="shared" ref="E5:E31" si="0">IFERROR(C5/B5-1,"")</f>
        <v>-0.28931834785857857</v>
      </c>
      <c r="F5" s="45">
        <f t="shared" ref="F5:F31" si="1">IFERROR(D5/C5-1,"")</f>
        <v>0.13573468067670591</v>
      </c>
    </row>
    <row r="6" spans="1:6" x14ac:dyDescent="0.3">
      <c r="A6" t="s">
        <v>128</v>
      </c>
      <c r="B6">
        <f>Raw_10K_Extract!D31</f>
        <v>295.63600000000002</v>
      </c>
      <c r="C6">
        <f>Raw_10K_Extract!E31</f>
        <v>367.91699999999997</v>
      </c>
      <c r="D6">
        <f>Raw_10K_Extract!F31</f>
        <v>282.29300000000001</v>
      </c>
      <c r="E6" s="45">
        <f t="shared" si="0"/>
        <v>0.24449322815895203</v>
      </c>
      <c r="F6" s="45">
        <f t="shared" si="1"/>
        <v>-0.2327264029658862</v>
      </c>
    </row>
    <row r="7" spans="1:6" x14ac:dyDescent="0.3">
      <c r="A7" t="s">
        <v>130</v>
      </c>
      <c r="B7">
        <f>Raw_10K_Extract!D32</f>
        <v>1595.373</v>
      </c>
      <c r="C7">
        <f>Raw_10K_Extract!E32</f>
        <v>1174.653</v>
      </c>
      <c r="D7">
        <f>Raw_10K_Extract!F32</f>
        <v>1131.6279999999999</v>
      </c>
      <c r="E7" s="45">
        <f t="shared" si="0"/>
        <v>-0.26371262394436912</v>
      </c>
      <c r="F7" s="45">
        <f t="shared" si="1"/>
        <v>-3.6627838178594052E-2</v>
      </c>
    </row>
    <row r="8" spans="1:6" x14ac:dyDescent="0.3">
      <c r="A8" t="s">
        <v>132</v>
      </c>
      <c r="B8">
        <f>Raw_10K_Extract!D33</f>
        <v>2.67</v>
      </c>
      <c r="C8">
        <f>Raw_10K_Extract!E33</f>
        <v>7.5999999999999998E-2</v>
      </c>
      <c r="D8">
        <f>Raw_10K_Extract!F33</f>
        <v>3.5999999999999997E-2</v>
      </c>
      <c r="E8" s="45">
        <f t="shared" si="0"/>
        <v>-0.97153558052434452</v>
      </c>
      <c r="F8" s="45">
        <f t="shared" si="1"/>
        <v>-0.52631578947368429</v>
      </c>
    </row>
    <row r="9" spans="1:6" x14ac:dyDescent="0.3">
      <c r="A9" t="s">
        <v>134</v>
      </c>
      <c r="B9">
        <f>Raw_10K_Extract!D34</f>
        <v>2503.5610000000001</v>
      </c>
      <c r="C9">
        <f>Raw_10K_Extract!E34</f>
        <v>4402.9620000000004</v>
      </c>
      <c r="D9">
        <f>Raw_10K_Extract!F34</f>
        <v>5670.0559999999996</v>
      </c>
      <c r="E9" s="45">
        <f t="shared" si="0"/>
        <v>0.75867973658321097</v>
      </c>
      <c r="F9" s="45">
        <f t="shared" si="1"/>
        <v>0.28778217936016692</v>
      </c>
    </row>
    <row r="10" spans="1:6" x14ac:dyDescent="0.3">
      <c r="A10" t="s">
        <v>136</v>
      </c>
      <c r="B10">
        <f>Raw_10K_Extract!D35</f>
        <v>-155.392</v>
      </c>
      <c r="C10">
        <f>Raw_10K_Extract!E35</f>
        <v>-204.53100000000001</v>
      </c>
      <c r="D10">
        <f>Raw_10K_Extract!F35</f>
        <v>-309.09699999999998</v>
      </c>
      <c r="E10" s="45">
        <f t="shared" si="0"/>
        <v>0.31622606054365732</v>
      </c>
      <c r="F10" s="45">
        <f t="shared" si="1"/>
        <v>0.51124768372520535</v>
      </c>
    </row>
    <row r="11" spans="1:6" s="32" customFormat="1" x14ac:dyDescent="0.3">
      <c r="A11" s="32" t="s">
        <v>138</v>
      </c>
      <c r="B11" s="32">
        <f>Raw_10K_Extract!D36</f>
        <v>2348.1689999999999</v>
      </c>
      <c r="C11" s="32">
        <f>Raw_10K_Extract!E36</f>
        <v>4198.4309999999996</v>
      </c>
      <c r="D11" s="32">
        <f>Raw_10K_Extract!F36</f>
        <v>5360.9589999999998</v>
      </c>
      <c r="E11" s="58">
        <f t="shared" si="0"/>
        <v>0.78795946969745345</v>
      </c>
      <c r="F11" s="58">
        <f t="shared" si="1"/>
        <v>0.27689582131991708</v>
      </c>
    </row>
    <row r="12" spans="1:6" x14ac:dyDescent="0.3">
      <c r="A12" t="s">
        <v>140</v>
      </c>
      <c r="B12">
        <f>Raw_10K_Extract!D37</f>
        <v>142.05199999999999</v>
      </c>
      <c r="C12">
        <f>Raw_10K_Extract!E37</f>
        <v>199.08500000000001</v>
      </c>
      <c r="D12">
        <f>Raw_10K_Extract!F37</f>
        <v>353.02800000000002</v>
      </c>
      <c r="E12" s="45">
        <f t="shared" si="0"/>
        <v>0.40149381916481297</v>
      </c>
      <c r="F12" s="45">
        <f t="shared" si="1"/>
        <v>0.77325263078584516</v>
      </c>
    </row>
    <row r="13" spans="1:6" x14ac:dyDescent="0.3">
      <c r="A13" t="s">
        <v>142</v>
      </c>
      <c r="B13">
        <f>Raw_10K_Extract!D38</f>
        <v>171.482</v>
      </c>
      <c r="C13">
        <f>Raw_10K_Extract!E38</f>
        <v>290.13499999999999</v>
      </c>
      <c r="D13">
        <f>Raw_10K_Extract!F38</f>
        <v>427.68599999999998</v>
      </c>
      <c r="E13" s="45">
        <f t="shared" si="0"/>
        <v>0.69192684946524996</v>
      </c>
      <c r="F13" s="45">
        <f t="shared" si="1"/>
        <v>0.47409309459389593</v>
      </c>
    </row>
    <row r="14" spans="1:6" x14ac:dyDescent="0.3">
      <c r="A14" t="s">
        <v>144</v>
      </c>
      <c r="B14">
        <f>Raw_10K_Extract!D39</f>
        <v>539.53399999999999</v>
      </c>
      <c r="C14">
        <f>Raw_10K_Extract!E39</f>
        <v>542.57100000000003</v>
      </c>
      <c r="D14">
        <f>Raw_10K_Extract!F39</f>
        <v>533.43899999999996</v>
      </c>
      <c r="E14" s="45">
        <f t="shared" si="0"/>
        <v>5.6289316335949025E-3</v>
      </c>
      <c r="F14" s="45">
        <f t="shared" si="1"/>
        <v>-1.6830976959697597E-2</v>
      </c>
    </row>
    <row r="15" spans="1:6" x14ac:dyDescent="0.3">
      <c r="A15" t="s">
        <v>146</v>
      </c>
      <c r="B15">
        <f>Raw_10K_Extract!D40</f>
        <v>78.941999999999993</v>
      </c>
      <c r="C15">
        <f>Raw_10K_Extract!E40</f>
        <v>34.433999999999997</v>
      </c>
      <c r="D15">
        <f>Raw_10K_Extract!F40</f>
        <v>13.502000000000001</v>
      </c>
      <c r="E15" s="45">
        <f t="shared" si="0"/>
        <v>-0.56380633883104048</v>
      </c>
      <c r="F15" s="45">
        <f t="shared" si="1"/>
        <v>-0.6078875529999419</v>
      </c>
    </row>
    <row r="16" spans="1:6" x14ac:dyDescent="0.3">
      <c r="A16" t="s">
        <v>148</v>
      </c>
      <c r="B16">
        <f>Raw_10K_Extract!D41</f>
        <v>263.19600000000003</v>
      </c>
      <c r="C16">
        <f>Raw_10K_Extract!E41</f>
        <v>177.672</v>
      </c>
      <c r="D16">
        <f>Raw_10K_Extract!F41</f>
        <v>104.602</v>
      </c>
      <c r="E16" s="45">
        <f t="shared" si="0"/>
        <v>-0.32494414808735705</v>
      </c>
      <c r="F16" s="45">
        <f t="shared" si="1"/>
        <v>-0.41126345175379353</v>
      </c>
    </row>
    <row r="17" spans="1:6" x14ac:dyDescent="0.3">
      <c r="A17" t="s">
        <v>150</v>
      </c>
      <c r="B17">
        <f>Raw_10K_Extract!D42</f>
        <v>281.56700000000001</v>
      </c>
      <c r="C17">
        <f>Raw_10K_Extract!E42</f>
        <v>278.61399999999998</v>
      </c>
      <c r="D17">
        <f>Raw_10K_Extract!F42</f>
        <v>299.33999999999997</v>
      </c>
      <c r="E17" s="45">
        <f t="shared" si="0"/>
        <v>-1.0487734713229946E-2</v>
      </c>
      <c r="F17" s="45">
        <f t="shared" si="1"/>
        <v>7.4389657375437013E-2</v>
      </c>
    </row>
    <row r="18" spans="1:6" s="32" customFormat="1" x14ac:dyDescent="0.3">
      <c r="A18" s="46" t="s">
        <v>152</v>
      </c>
      <c r="B18" s="46">
        <f>Raw_10K_Extract!D43</f>
        <v>6973.7920000000004</v>
      </c>
      <c r="C18" s="46">
        <f>Raw_10K_Extract!E43</f>
        <v>8155.6149999999998</v>
      </c>
      <c r="D18" s="46">
        <f>Raw_10K_Extract!F43</f>
        <v>9519.6190000000006</v>
      </c>
      <c r="E18" s="51">
        <f t="shared" si="0"/>
        <v>0.16946633911650921</v>
      </c>
      <c r="F18" s="51">
        <f t="shared" si="1"/>
        <v>0.16724722783015156</v>
      </c>
    </row>
    <row r="19" spans="1:6" x14ac:dyDescent="0.3">
      <c r="A19" t="s">
        <v>155</v>
      </c>
      <c r="B19">
        <f>Raw_10K_Extract!D44</f>
        <v>33.072000000000003</v>
      </c>
      <c r="C19">
        <f>Raw_10K_Extract!E44</f>
        <v>28.602</v>
      </c>
      <c r="D19">
        <f>Raw_10K_Extract!F44</f>
        <v>41.018999999999998</v>
      </c>
      <c r="E19" s="45">
        <f t="shared" si="0"/>
        <v>-0.13515965166908572</v>
      </c>
      <c r="F19" s="45">
        <f t="shared" si="1"/>
        <v>0.43413048038598689</v>
      </c>
    </row>
    <row r="20" spans="1:6" x14ac:dyDescent="0.3">
      <c r="A20" t="s">
        <v>157</v>
      </c>
      <c r="B20">
        <f>Raw_10K_Extract!D45</f>
        <v>71.382999999999996</v>
      </c>
      <c r="C20">
        <f>Raw_10K_Extract!E45</f>
        <v>53.851999999999997</v>
      </c>
      <c r="D20">
        <f>Raw_10K_Extract!F45</f>
        <v>159.643</v>
      </c>
      <c r="E20" s="45">
        <f t="shared" si="0"/>
        <v>-0.2455906868582155</v>
      </c>
      <c r="F20" s="45">
        <f t="shared" si="1"/>
        <v>1.9644767139567705</v>
      </c>
    </row>
    <row r="21" spans="1:6" x14ac:dyDescent="0.3">
      <c r="A21" t="s">
        <v>159</v>
      </c>
      <c r="B21">
        <f>Raw_10K_Extract!D46</f>
        <v>6.6589999999999998</v>
      </c>
      <c r="C21">
        <f>Raw_10K_Extract!E46</f>
        <v>13.497999999999999</v>
      </c>
      <c r="D21">
        <f>Raw_10K_Extract!F46</f>
        <v>24.327000000000002</v>
      </c>
      <c r="E21" s="45">
        <f t="shared" si="0"/>
        <v>1.0270310857486109</v>
      </c>
      <c r="F21" s="45">
        <f t="shared" si="1"/>
        <v>0.80226700251889183</v>
      </c>
    </row>
    <row r="22" spans="1:6" x14ac:dyDescent="0.3">
      <c r="A22" t="s">
        <v>161</v>
      </c>
      <c r="B22">
        <f>Raw_10K_Extract!D47</f>
        <v>237.59800000000001</v>
      </c>
      <c r="C22">
        <f>Raw_10K_Extract!E47</f>
        <v>180.88300000000001</v>
      </c>
      <c r="D22">
        <f>Raw_10K_Extract!F47</f>
        <v>147.429</v>
      </c>
      <c r="E22" s="45">
        <f t="shared" si="0"/>
        <v>-0.23870150422141601</v>
      </c>
      <c r="F22" s="45">
        <f t="shared" si="1"/>
        <v>-0.18494828148582232</v>
      </c>
    </row>
    <row r="23" spans="1:6" x14ac:dyDescent="0.3">
      <c r="A23" t="s">
        <v>163</v>
      </c>
      <c r="B23">
        <f>Raw_10K_Extract!D48</f>
        <v>1706.6679999999999</v>
      </c>
      <c r="C23">
        <f>Raw_10K_Extract!E48</f>
        <v>1414.2080000000001</v>
      </c>
      <c r="D23">
        <f>Raw_10K_Extract!F48</f>
        <v>1341.43</v>
      </c>
      <c r="E23" s="45">
        <f t="shared" si="0"/>
        <v>-0.17136314737254099</v>
      </c>
      <c r="F23" s="45">
        <f t="shared" si="1"/>
        <v>-5.1462019731185249E-2</v>
      </c>
    </row>
    <row r="24" spans="1:6" x14ac:dyDescent="0.3">
      <c r="A24" t="s">
        <v>165</v>
      </c>
      <c r="B24">
        <f>Raw_10K_Extract!D49</f>
        <v>1627.58</v>
      </c>
      <c r="C24">
        <f>Raw_10K_Extract!E49</f>
        <v>2165.5770000000002</v>
      </c>
      <c r="D24">
        <f>Raw_10K_Extract!F49</f>
        <v>3236.873</v>
      </c>
      <c r="E24" s="45">
        <f t="shared" si="0"/>
        <v>0.33055026481033201</v>
      </c>
      <c r="F24" s="45">
        <f t="shared" si="1"/>
        <v>0.49469310026842717</v>
      </c>
    </row>
    <row r="25" spans="1:6" x14ac:dyDescent="0.3">
      <c r="A25" t="s">
        <v>167</v>
      </c>
      <c r="B25">
        <f>Raw_10K_Extract!D50</f>
        <v>672.577</v>
      </c>
      <c r="C25">
        <f>Raw_10K_Extract!E50</f>
        <v>1764.8119999999999</v>
      </c>
      <c r="D25">
        <f>Raw_10K_Extract!F50</f>
        <v>1836.9090000000001</v>
      </c>
      <c r="E25" s="45">
        <f t="shared" si="0"/>
        <v>1.623955324074418</v>
      </c>
      <c r="F25" s="45">
        <f t="shared" si="1"/>
        <v>4.0852510069061321E-2</v>
      </c>
    </row>
    <row r="26" spans="1:6" s="32" customFormat="1" x14ac:dyDescent="0.3">
      <c r="A26" s="46" t="s">
        <v>169</v>
      </c>
      <c r="B26" s="46">
        <f>Raw_10K_Extract!D51</f>
        <v>4355.5370000000003</v>
      </c>
      <c r="C26" s="46">
        <f>Raw_10K_Extract!E51</f>
        <v>5621.4319999999998</v>
      </c>
      <c r="D26" s="46">
        <f>Raw_10K_Extract!F51</f>
        <v>6787.63</v>
      </c>
      <c r="E26" s="51">
        <f t="shared" si="0"/>
        <v>0.29064039635066807</v>
      </c>
      <c r="F26" s="51">
        <f t="shared" si="1"/>
        <v>0.20745568033198669</v>
      </c>
    </row>
    <row r="27" spans="1:6" x14ac:dyDescent="0.3">
      <c r="A27" t="s">
        <v>172</v>
      </c>
      <c r="B27">
        <f>Raw_10K_Extract!D52</f>
        <v>4231.3029999999999</v>
      </c>
      <c r="C27">
        <f>Raw_10K_Extract!E52</f>
        <v>5140.8500000000004</v>
      </c>
      <c r="D27">
        <f>Raw_10K_Extract!F52</f>
        <v>5862.5550000000003</v>
      </c>
      <c r="E27" s="45">
        <f t="shared" si="0"/>
        <v>0.21495671664260407</v>
      </c>
      <c r="F27" s="45">
        <f t="shared" si="1"/>
        <v>0.14038631743777774</v>
      </c>
    </row>
    <row r="28" spans="1:6" x14ac:dyDescent="0.3">
      <c r="A28" t="s">
        <v>174</v>
      </c>
      <c r="B28">
        <f>Raw_10K_Extract!D53</f>
        <v>-1605.902</v>
      </c>
      <c r="C28">
        <f>Raw_10K_Extract!E53</f>
        <v>-2591.2469999999998</v>
      </c>
      <c r="D28">
        <f>Raw_10K_Extract!F53</f>
        <v>-3109.0039999999999</v>
      </c>
      <c r="E28" s="45">
        <f t="shared" si="0"/>
        <v>0.61357729176500175</v>
      </c>
      <c r="F28" s="45">
        <f t="shared" si="1"/>
        <v>0.19980997566036751</v>
      </c>
    </row>
    <row r="29" spans="1:6" x14ac:dyDescent="0.3">
      <c r="A29" t="s">
        <v>176</v>
      </c>
      <c r="B29">
        <f>Raw_10K_Extract!D54</f>
        <v>-7.149</v>
      </c>
      <c r="C29">
        <f>Raw_10K_Extract!E54</f>
        <v>-15.423</v>
      </c>
      <c r="D29">
        <f>Raw_10K_Extract!F54</f>
        <v>-21.565000000000001</v>
      </c>
      <c r="E29" s="45">
        <f t="shared" si="0"/>
        <v>1.1573646663869073</v>
      </c>
      <c r="F29" s="45">
        <f t="shared" si="1"/>
        <v>0.39823640018154705</v>
      </c>
    </row>
    <row r="30" spans="1:6" s="32" customFormat="1" x14ac:dyDescent="0.3">
      <c r="A30" s="46" t="s">
        <v>178</v>
      </c>
      <c r="B30" s="46">
        <f>Raw_10K_Extract!D55</f>
        <v>2618.2550000000001</v>
      </c>
      <c r="C30" s="46">
        <f>Raw_10K_Extract!E55</f>
        <v>2534.183</v>
      </c>
      <c r="D30" s="46">
        <f>Raw_10K_Extract!F55</f>
        <v>2731.989</v>
      </c>
      <c r="E30" s="51">
        <f t="shared" si="0"/>
        <v>-3.2109935816030166E-2</v>
      </c>
      <c r="F30" s="51">
        <f t="shared" si="1"/>
        <v>7.8055136507505507E-2</v>
      </c>
    </row>
    <row r="31" spans="1:6" s="32" customFormat="1" x14ac:dyDescent="0.3">
      <c r="A31" s="46" t="s">
        <v>181</v>
      </c>
      <c r="B31" s="46">
        <f>Raw_10K_Extract!D56</f>
        <v>6973.7920000000004</v>
      </c>
      <c r="C31" s="46">
        <f>Raw_10K_Extract!E56</f>
        <v>8155.6149999999998</v>
      </c>
      <c r="D31" s="46">
        <f>Raw_10K_Extract!F56</f>
        <v>9519.6190000000006</v>
      </c>
      <c r="E31" s="51">
        <f t="shared" si="0"/>
        <v>0.16946633911650921</v>
      </c>
      <c r="F31" s="51">
        <f t="shared" si="1"/>
        <v>0.16724722783015156</v>
      </c>
    </row>
    <row r="32" spans="1:6" s="32" customFormat="1" x14ac:dyDescent="0.3">
      <c r="A32" s="46" t="s">
        <v>253</v>
      </c>
      <c r="B32" s="46">
        <f>B18-B31</f>
        <v>0</v>
      </c>
      <c r="C32" s="46">
        <f>C18-C31</f>
        <v>0</v>
      </c>
      <c r="D32" s="46">
        <f>D18-D31</f>
        <v>0</v>
      </c>
      <c r="E32" s="59"/>
      <c r="F32" s="59"/>
    </row>
    <row r="33" spans="5:6" x14ac:dyDescent="0.3">
      <c r="E33" s="12"/>
      <c r="F33"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2AE8-262D-4E40-9671-1502C061FC6B}">
  <dimension ref="A1:F16"/>
  <sheetViews>
    <sheetView workbookViewId="0">
      <selection activeCell="A2" sqref="A2"/>
    </sheetView>
  </sheetViews>
  <sheetFormatPr defaultRowHeight="14.4" x14ac:dyDescent="0.3"/>
  <cols>
    <col min="1" max="1" width="46" customWidth="1"/>
    <col min="2" max="2" width="11.6640625" customWidth="1"/>
    <col min="3" max="3" width="11.88671875" customWidth="1"/>
    <col min="4" max="4" width="12.6640625" customWidth="1"/>
    <col min="5" max="5" width="16" customWidth="1"/>
    <col min="6" max="6" width="17" customWidth="1"/>
  </cols>
  <sheetData>
    <row r="1" spans="1:6" ht="15.6" x14ac:dyDescent="0.35">
      <c r="A1" s="48" t="s">
        <v>254</v>
      </c>
    </row>
    <row r="2" spans="1:6" ht="15" thickBot="1" x14ac:dyDescent="0.35">
      <c r="A2" s="87" t="s">
        <v>56</v>
      </c>
    </row>
    <row r="4" spans="1:6" x14ac:dyDescent="0.3">
      <c r="A4" s="49" t="s">
        <v>249</v>
      </c>
      <c r="B4" s="49" t="s">
        <v>38</v>
      </c>
      <c r="C4" s="49" t="s">
        <v>39</v>
      </c>
      <c r="D4" s="49" t="s">
        <v>40</v>
      </c>
      <c r="E4" s="49" t="s">
        <v>250</v>
      </c>
      <c r="F4" s="49" t="s">
        <v>251</v>
      </c>
    </row>
    <row r="5" spans="1:6" x14ac:dyDescent="0.3">
      <c r="A5" t="s">
        <v>121</v>
      </c>
      <c r="B5">
        <f>Raw_10K_Extract!D57</f>
        <v>-707.41700000000003</v>
      </c>
      <c r="C5">
        <f>Raw_10K_Extract!E57</f>
        <v>-985.34500000000003</v>
      </c>
      <c r="D5">
        <f>Raw_10K_Extract!F57</f>
        <v>-517.75699999999995</v>
      </c>
      <c r="E5" s="45">
        <f t="shared" ref="E5:F9" si="0">IFERROR(C5/B5-1,"")</f>
        <v>0.39287718559209073</v>
      </c>
      <c r="F5" s="45">
        <f t="shared" si="0"/>
        <v>-0.47454241915268258</v>
      </c>
    </row>
    <row r="6" spans="1:6" x14ac:dyDescent="0.3">
      <c r="A6" t="s">
        <v>188</v>
      </c>
      <c r="B6">
        <f>Raw_10K_Extract!D58</f>
        <v>78.141999999999996</v>
      </c>
      <c r="C6">
        <f>Raw_10K_Extract!E58</f>
        <v>125.476</v>
      </c>
      <c r="D6">
        <f>Raw_10K_Extract!F58</f>
        <v>145.898</v>
      </c>
      <c r="E6" s="45">
        <f t="shared" si="0"/>
        <v>0.60574339023828427</v>
      </c>
      <c r="F6" s="45">
        <f t="shared" si="0"/>
        <v>0.16275622429787373</v>
      </c>
    </row>
    <row r="7" spans="1:6" x14ac:dyDescent="0.3">
      <c r="A7" t="s">
        <v>190</v>
      </c>
      <c r="B7">
        <f>Raw_10K_Extract!D59</f>
        <v>396.16199999999998</v>
      </c>
      <c r="C7">
        <f>Raw_10K_Extract!E59</f>
        <v>478.99799999999999</v>
      </c>
      <c r="D7">
        <f>Raw_10K_Extract!F59</f>
        <v>339.572</v>
      </c>
      <c r="E7" s="45">
        <f t="shared" si="0"/>
        <v>0.20909627879503834</v>
      </c>
      <c r="F7" s="45">
        <f t="shared" si="0"/>
        <v>-0.29107845961778545</v>
      </c>
    </row>
    <row r="8" spans="1:6" x14ac:dyDescent="0.3">
      <c r="A8" t="s">
        <v>96</v>
      </c>
      <c r="B8">
        <f>Raw_10K_Extract!D60</f>
        <v>255.27199999999999</v>
      </c>
      <c r="C8">
        <f>Raw_10K_Extract!E60</f>
        <v>331.86</v>
      </c>
      <c r="D8">
        <f>Raw_10K_Extract!F60</f>
        <v>460.62799999999999</v>
      </c>
      <c r="E8" s="45">
        <f t="shared" si="0"/>
        <v>0.30002507129649958</v>
      </c>
      <c r="F8" s="45">
        <f t="shared" si="0"/>
        <v>0.38801904417525446</v>
      </c>
    </row>
    <row r="9" spans="1:6" s="32" customFormat="1" x14ac:dyDescent="0.3">
      <c r="A9" s="46" t="s">
        <v>193</v>
      </c>
      <c r="B9" s="46">
        <f>Raw_10K_Extract!D61</f>
        <v>-276.62400000000002</v>
      </c>
      <c r="C9" s="46">
        <f>Raw_10K_Extract!E61</f>
        <v>-392.07499999999999</v>
      </c>
      <c r="D9" s="46">
        <f>Raw_10K_Extract!F61</f>
        <v>-356.33199999999999</v>
      </c>
      <c r="E9" s="51">
        <f t="shared" si="0"/>
        <v>0.41735713459425061</v>
      </c>
      <c r="F9" s="51">
        <f t="shared" si="0"/>
        <v>-9.1163680418287263E-2</v>
      </c>
    </row>
    <row r="10" spans="1:6" x14ac:dyDescent="0.3">
      <c r="E10" s="45"/>
      <c r="F10" s="45"/>
    </row>
    <row r="11" spans="1:6" x14ac:dyDescent="0.3">
      <c r="A11" t="s">
        <v>196</v>
      </c>
      <c r="B11">
        <f>Raw_10K_Extract!D62</f>
        <v>-136.33699999999999</v>
      </c>
      <c r="C11">
        <f>Raw_10K_Extract!E62</f>
        <v>-225.452</v>
      </c>
      <c r="D11">
        <f>Raw_10K_Extract!F62</f>
        <v>-263.20400000000001</v>
      </c>
      <c r="E11" s="45">
        <f>IFERROR(C11/B11-1,"")</f>
        <v>0.65363767722628507</v>
      </c>
      <c r="F11" s="45">
        <f>IFERROR(D11/C11-1,"")</f>
        <v>0.16745027766442533</v>
      </c>
    </row>
    <row r="12" spans="1:6" s="32" customFormat="1" x14ac:dyDescent="0.3">
      <c r="A12" s="46" t="s">
        <v>198</v>
      </c>
      <c r="B12" s="46">
        <f>Raw_10K_Extract!D63</f>
        <v>-1684.7090000000001</v>
      </c>
      <c r="C12" s="46">
        <f>Raw_10K_Extract!E63</f>
        <v>-1578.1020000000001</v>
      </c>
      <c r="D12" s="46">
        <f>Raw_10K_Extract!F63</f>
        <v>-1231.105</v>
      </c>
      <c r="E12" s="51">
        <f>IFERROR(C12/B12-1,"")</f>
        <v>-6.3279177590907398E-2</v>
      </c>
      <c r="F12" s="51">
        <f>IFERROR(D12/C12-1,"")</f>
        <v>-0.2198824917527511</v>
      </c>
    </row>
    <row r="13" spans="1:6" x14ac:dyDescent="0.3">
      <c r="E13" s="45"/>
      <c r="F13" s="45"/>
    </row>
    <row r="14" spans="1:6" s="32" customFormat="1" x14ac:dyDescent="0.3">
      <c r="A14" s="46" t="s">
        <v>201</v>
      </c>
      <c r="B14" s="46">
        <f>Raw_10K_Extract!D64</f>
        <v>1915.3389999999999</v>
      </c>
      <c r="C14" s="46">
        <f>Raw_10K_Extract!E64</f>
        <v>1829.566</v>
      </c>
      <c r="D14" s="46">
        <f>Raw_10K_Extract!F64</f>
        <v>1635.636</v>
      </c>
      <c r="E14" s="51">
        <f>IFERROR(C14/B14-1,"")</f>
        <v>-4.4782150835961598E-2</v>
      </c>
      <c r="F14" s="51">
        <f>IFERROR(D14/C14-1,"")</f>
        <v>-0.10599781587545898</v>
      </c>
    </row>
    <row r="15" spans="1:6" x14ac:dyDescent="0.3">
      <c r="E15" s="45"/>
      <c r="F15" s="45"/>
    </row>
    <row r="16" spans="1:6" s="32" customFormat="1" x14ac:dyDescent="0.3">
      <c r="A16" s="46" t="s">
        <v>203</v>
      </c>
      <c r="B16" s="46">
        <f>Raw_10K_Extract!D65</f>
        <v>-412.96100000000001</v>
      </c>
      <c r="C16" s="46">
        <f>Raw_10K_Extract!E65</f>
        <v>-617.52700000000004</v>
      </c>
      <c r="D16" s="46">
        <f>Raw_10K_Extract!F65</f>
        <v>-619.53599999999994</v>
      </c>
      <c r="E16" s="51">
        <f>IFERROR(C16/B16-1,"")</f>
        <v>0.49536396899465096</v>
      </c>
      <c r="F16" s="51">
        <f>IFERROR(D16/C16-1,"")</f>
        <v>3.2532990460334421E-3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E033-9A6F-4EBC-BD26-1EE423D44A28}">
  <dimension ref="A1:G18"/>
  <sheetViews>
    <sheetView workbookViewId="0">
      <selection activeCell="E10" sqref="E10"/>
    </sheetView>
  </sheetViews>
  <sheetFormatPr defaultRowHeight="14.4" x14ac:dyDescent="0.3"/>
  <cols>
    <col min="1" max="1" width="43.21875" customWidth="1"/>
    <col min="2" max="2" width="15.5546875" customWidth="1"/>
    <col min="3" max="4" width="14.44140625" customWidth="1"/>
    <col min="5" max="5" width="14.33203125" customWidth="1"/>
    <col min="6" max="6" width="47.21875" customWidth="1"/>
  </cols>
  <sheetData>
    <row r="1" spans="1:7" ht="15.6" x14ac:dyDescent="0.35">
      <c r="A1" s="48" t="s">
        <v>270</v>
      </c>
    </row>
    <row r="2" spans="1:7" ht="15" thickBot="1" x14ac:dyDescent="0.35">
      <c r="A2" s="87" t="s">
        <v>255</v>
      </c>
    </row>
    <row r="4" spans="1:7" x14ac:dyDescent="0.3">
      <c r="A4" s="49" t="s">
        <v>37</v>
      </c>
      <c r="B4" s="49" t="s">
        <v>38</v>
      </c>
      <c r="C4" s="49" t="s">
        <v>39</v>
      </c>
      <c r="D4" s="49" t="s">
        <v>40</v>
      </c>
      <c r="E4" s="49" t="s">
        <v>256</v>
      </c>
      <c r="F4" s="49" t="s">
        <v>257</v>
      </c>
      <c r="G4" s="32"/>
    </row>
    <row r="5" spans="1:7" x14ac:dyDescent="0.3">
      <c r="A5" t="s">
        <v>44</v>
      </c>
      <c r="B5">
        <f>Clean_Financials!C2</f>
        <v>15483.236999999999</v>
      </c>
      <c r="C5">
        <f>Clean_Financials!D2</f>
        <v>20200</v>
      </c>
      <c r="D5">
        <f>Clean_Financials!E2</f>
        <v>26600</v>
      </c>
      <c r="E5" t="str">
        <f>IF(A5="Active Consumer Growth %",IF(D5&lt;C5,"Slowing",IF(D5&gt;C5,"Accelerating","Stable")),IF(OR(A5="Credit Loss Rate %",A5="Debt-to-Assets %"),IF(D5&lt;C5,"Improving",IF(D5&gt;C5,"Worsening","Stable")),IF(D5&gt;C5,"Improving",IF(D5&lt;C5,"Worsening","Stable"))))</f>
        <v>Improving</v>
      </c>
      <c r="F5" t="s">
        <v>258</v>
      </c>
    </row>
    <row r="6" spans="1:7" x14ac:dyDescent="0.3">
      <c r="A6" t="s">
        <v>78</v>
      </c>
      <c r="B6">
        <f>Clean_Financials!C3</f>
        <v>1349.2919999999999</v>
      </c>
      <c r="C6">
        <f>Clean_Financials!D3</f>
        <v>1587.9849999999999</v>
      </c>
      <c r="D6">
        <f>Clean_Financials!E3</f>
        <v>2322.9989999999998</v>
      </c>
      <c r="E6" t="str">
        <f t="shared" ref="E6:E18" si="0">IF(A6="Active Consumer Growth %",IF(D6&lt;C6,"Slowing",IF(D6&gt;C6,"Accelerating","Stable")),IF(OR(A6="Credit Loss Rate %",A6="Debt-to-Assets %"),IF(D6&lt;C6,"Improving",IF(D6&gt;C6,"Worsening","Stable")),IF(D6&gt;C6,"Improving",IF(D6&lt;C6,"Worsening","Stable"))))</f>
        <v>Improving</v>
      </c>
      <c r="F6" t="s">
        <v>259</v>
      </c>
    </row>
    <row r="7" spans="1:7" x14ac:dyDescent="0.3">
      <c r="A7" t="s">
        <v>209</v>
      </c>
      <c r="B7" s="45" t="str">
        <f>Clean_Financials!C7</f>
        <v/>
      </c>
      <c r="C7" s="45">
        <f>Clean_Financials!D7</f>
        <v>0.30463675005426838</v>
      </c>
      <c r="D7" s="45">
        <f>Clean_Financials!E7</f>
        <v>0.31683168316831689</v>
      </c>
      <c r="E7" t="str">
        <f t="shared" si="0"/>
        <v>Improving</v>
      </c>
      <c r="F7" t="s">
        <v>260</v>
      </c>
    </row>
    <row r="8" spans="1:7" x14ac:dyDescent="0.3">
      <c r="A8" t="s">
        <v>210</v>
      </c>
      <c r="B8" s="45" t="str">
        <f>Clean_Financials!C8</f>
        <v/>
      </c>
      <c r="C8" s="45">
        <f>Clean_Financials!D8</f>
        <v>0.17690240511320021</v>
      </c>
      <c r="D8" s="45">
        <f>Clean_Financials!E8</f>
        <v>0.46285953582684969</v>
      </c>
      <c r="E8" t="str">
        <f t="shared" si="0"/>
        <v>Improving</v>
      </c>
      <c r="F8" t="s">
        <v>261</v>
      </c>
    </row>
    <row r="9" spans="1:7" x14ac:dyDescent="0.3">
      <c r="A9" t="s">
        <v>211</v>
      </c>
      <c r="B9" s="45">
        <f>Clean_Financials!C9</f>
        <v>8.7145343057139793E-2</v>
      </c>
      <c r="C9" s="45">
        <f>Clean_Financials!D9</f>
        <v>7.8613118811881183E-2</v>
      </c>
      <c r="D9" s="45">
        <f>Clean_Financials!E9</f>
        <v>8.7330789473684209E-2</v>
      </c>
      <c r="E9" t="str">
        <f>IF(A9="Active Consumer Growth %",IF(D9&lt;C9,"Slowing",IF(D9&gt;C9,"Accelerating","Stable")),IF(OR(A9="Credit Loss Rate %",A9="Debt-to-Assets %"),IF(D9&lt;C9,"Improving",IF(D9&gt;C9,"Worsening","Stable")),IF(D9&gt;C9,"Improving",IF(D9&lt;C9,"Worsening","Stable"))))</f>
        <v>Improving</v>
      </c>
      <c r="F9" t="s">
        <v>262</v>
      </c>
    </row>
    <row r="10" spans="1:7" x14ac:dyDescent="0.3">
      <c r="A10" t="s">
        <v>212</v>
      </c>
      <c r="B10" s="45">
        <f>Clean_Financials!C10</f>
        <v>1.6486991705933325E-2</v>
      </c>
      <c r="C10" s="45">
        <f>Clean_Financials!D10</f>
        <v>1.2637227722772277E-2</v>
      </c>
      <c r="D10" s="45">
        <f>Clean_Financials!E10</f>
        <v>9.5966917293233076E-3</v>
      </c>
      <c r="E10" t="str">
        <f t="shared" si="0"/>
        <v>Improving</v>
      </c>
      <c r="F10" t="s">
        <v>263</v>
      </c>
    </row>
    <row r="11" spans="1:7" x14ac:dyDescent="0.3">
      <c r="A11" t="s">
        <v>213</v>
      </c>
      <c r="B11" s="45">
        <f>Clean_Financials!C11</f>
        <v>-0.64185365361982438</v>
      </c>
      <c r="C11" s="45">
        <f>Clean_Financials!D11</f>
        <v>-0.756217470568047</v>
      </c>
      <c r="D11" s="45">
        <f>Clean_Financials!E11</f>
        <v>-0.26510859453663133</v>
      </c>
      <c r="E11" t="str">
        <f t="shared" si="0"/>
        <v>Improving</v>
      </c>
      <c r="F11" t="s">
        <v>264</v>
      </c>
    </row>
    <row r="12" spans="1:7" x14ac:dyDescent="0.3">
      <c r="A12" t="s">
        <v>214</v>
      </c>
      <c r="B12" s="45">
        <f>Clean_Financials!C12</f>
        <v>-0.52428755228668078</v>
      </c>
      <c r="C12" s="45">
        <f>Clean_Financials!D12</f>
        <v>-0.62050019364162767</v>
      </c>
      <c r="D12" s="45">
        <f>Clean_Financials!E12</f>
        <v>-0.22288300597632629</v>
      </c>
      <c r="E12" t="str">
        <f t="shared" si="0"/>
        <v>Improving</v>
      </c>
      <c r="F12" t="s">
        <v>271</v>
      </c>
    </row>
    <row r="13" spans="1:7" x14ac:dyDescent="0.3">
      <c r="A13" t="s">
        <v>215</v>
      </c>
      <c r="B13" s="45">
        <f>Clean_Financials!C13</f>
        <v>-0.30605754721735551</v>
      </c>
      <c r="C13" s="45">
        <f>Clean_Financials!D13</f>
        <v>-0.38887458004955971</v>
      </c>
      <c r="D13" s="45">
        <f>Clean_Financials!E13</f>
        <v>-0.26669662793655957</v>
      </c>
      <c r="E13" t="str">
        <f t="shared" si="0"/>
        <v>Improving</v>
      </c>
      <c r="F13" t="s">
        <v>272</v>
      </c>
    </row>
    <row r="14" spans="1:7" x14ac:dyDescent="0.3">
      <c r="A14" t="s">
        <v>45</v>
      </c>
      <c r="B14">
        <f>Clean_Financials!C14</f>
        <v>13.98</v>
      </c>
      <c r="C14">
        <f>Clean_Financials!D14</f>
        <v>16.469000000000001</v>
      </c>
      <c r="D14">
        <f>Clean_Financials!E14</f>
        <v>18.713000000000001</v>
      </c>
      <c r="E14" t="str">
        <f t="shared" si="0"/>
        <v>Improving</v>
      </c>
      <c r="F14" t="s">
        <v>265</v>
      </c>
    </row>
    <row r="15" spans="1:7" x14ac:dyDescent="0.3">
      <c r="A15" t="s">
        <v>216</v>
      </c>
      <c r="B15" s="45" t="str">
        <f>Clean_Financials!C15</f>
        <v/>
      </c>
      <c r="C15" s="45">
        <f>Clean_Financials!D15</f>
        <v>0.17804005722460658</v>
      </c>
      <c r="D15" s="45">
        <f>Clean_Financials!E15</f>
        <v>0.13625599611391093</v>
      </c>
      <c r="E15" t="str">
        <f t="shared" si="0"/>
        <v>Slowing</v>
      </c>
      <c r="F15" t="s">
        <v>266</v>
      </c>
    </row>
    <row r="16" spans="1:7" x14ac:dyDescent="0.3">
      <c r="A16" t="s">
        <v>47</v>
      </c>
      <c r="B16" s="53">
        <f>Clean_Financials!C16</f>
        <v>3</v>
      </c>
      <c r="C16" s="53">
        <f>Clean_Financials!D16</f>
        <v>3.9</v>
      </c>
      <c r="D16" s="53">
        <f>Clean_Financials!E16</f>
        <v>4.9000000000000004</v>
      </c>
      <c r="E16" t="str">
        <f t="shared" si="0"/>
        <v>Improving</v>
      </c>
      <c r="F16" t="s">
        <v>267</v>
      </c>
    </row>
    <row r="17" spans="1:6" x14ac:dyDescent="0.3">
      <c r="A17" t="s">
        <v>217</v>
      </c>
      <c r="B17" s="45">
        <f>Clean_Financials!C21</f>
        <v>0.62455791626707535</v>
      </c>
      <c r="C17" s="45">
        <f>Clean_Financials!D21</f>
        <v>0.68927137928899296</v>
      </c>
      <c r="D17" s="45">
        <f>Clean_Financials!E21</f>
        <v>0.71301488011232383</v>
      </c>
      <c r="E17" t="str">
        <f t="shared" si="0"/>
        <v>Worsening</v>
      </c>
      <c r="F17" t="s">
        <v>268</v>
      </c>
    </row>
    <row r="18" spans="1:6" x14ac:dyDescent="0.3">
      <c r="A18" t="s">
        <v>218</v>
      </c>
      <c r="B18" s="45">
        <f>Clean_Financials!C22</f>
        <v>0.37544208373292465</v>
      </c>
      <c r="C18" s="45">
        <f>Clean_Financials!D22</f>
        <v>0.3107286207110071</v>
      </c>
      <c r="D18" s="45">
        <f>Clean_Financials!E22</f>
        <v>0.28698511988767617</v>
      </c>
      <c r="E18" t="str">
        <f t="shared" si="0"/>
        <v>Worsening</v>
      </c>
      <c r="F18" t="s">
        <v>269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E4BE-205D-4200-8A35-C8442C6B4AC8}">
  <dimension ref="A1:F21"/>
  <sheetViews>
    <sheetView workbookViewId="0">
      <selection activeCell="A2" sqref="A2"/>
    </sheetView>
  </sheetViews>
  <sheetFormatPr defaultRowHeight="14.4" x14ac:dyDescent="0.3"/>
  <cols>
    <col min="1" max="1" width="43.5546875" customWidth="1"/>
    <col min="2" max="2" width="16.88671875" customWidth="1"/>
    <col min="3" max="3" width="13.109375" customWidth="1"/>
    <col min="4" max="4" width="17.5546875" customWidth="1"/>
    <col min="5" max="6" width="15.21875" customWidth="1"/>
  </cols>
  <sheetData>
    <row r="1" spans="1:6" ht="15.6" x14ac:dyDescent="0.3">
      <c r="A1" s="60" t="s">
        <v>295</v>
      </c>
    </row>
    <row r="2" spans="1:6" ht="15" thickBot="1" x14ac:dyDescent="0.35">
      <c r="A2" s="87" t="s">
        <v>255</v>
      </c>
    </row>
    <row r="4" spans="1:6" x14ac:dyDescent="0.3">
      <c r="A4" s="49" t="s">
        <v>273</v>
      </c>
      <c r="B4" s="49" t="s">
        <v>274</v>
      </c>
      <c r="C4" s="49" t="s">
        <v>275</v>
      </c>
      <c r="D4" s="49" t="s">
        <v>276</v>
      </c>
      <c r="E4" s="57" t="s">
        <v>277</v>
      </c>
      <c r="F4" s="57" t="s">
        <v>278</v>
      </c>
    </row>
    <row r="5" spans="1:6" x14ac:dyDescent="0.3">
      <c r="A5" t="s">
        <v>279</v>
      </c>
      <c r="B5" s="52">
        <v>0.25</v>
      </c>
      <c r="C5" s="52">
        <v>0.35</v>
      </c>
      <c r="D5" s="52">
        <v>0.15</v>
      </c>
      <c r="E5" t="s">
        <v>274</v>
      </c>
      <c r="F5" s="44">
        <f>IF(E5="Base Case",B5,IF(E5="Bull Case",C5,IF(E5="Bear Case",D5,"")))</f>
        <v>0.25</v>
      </c>
    </row>
    <row r="6" spans="1:6" x14ac:dyDescent="0.3">
      <c r="A6" t="s">
        <v>280</v>
      </c>
      <c r="B6" s="52">
        <v>0.2</v>
      </c>
      <c r="C6" s="52">
        <v>0.28000000000000003</v>
      </c>
      <c r="D6" s="52">
        <v>0.1</v>
      </c>
      <c r="E6" t="s">
        <v>274</v>
      </c>
      <c r="F6" s="44">
        <f t="shared" ref="F6:F20" si="0">IF(E6="Base Case",B6,IF(E6="Bull Case",C6,IF(E6="Bear Case",D6,"")))</f>
        <v>0.2</v>
      </c>
    </row>
    <row r="7" spans="1:6" x14ac:dyDescent="0.3">
      <c r="A7" t="s">
        <v>281</v>
      </c>
      <c r="B7" s="52">
        <v>0.16</v>
      </c>
      <c r="C7" s="52">
        <v>0.22</v>
      </c>
      <c r="D7" s="52">
        <v>0.08</v>
      </c>
      <c r="E7" t="s">
        <v>274</v>
      </c>
      <c r="F7" s="44">
        <f t="shared" si="0"/>
        <v>0.16</v>
      </c>
    </row>
    <row r="8" spans="1:6" x14ac:dyDescent="0.3">
      <c r="A8" t="s">
        <v>282</v>
      </c>
      <c r="B8" s="52">
        <v>0.12</v>
      </c>
      <c r="C8" s="52">
        <v>0.18</v>
      </c>
      <c r="D8" s="52">
        <v>0.06</v>
      </c>
      <c r="E8" t="s">
        <v>274</v>
      </c>
      <c r="F8" s="44">
        <f t="shared" si="0"/>
        <v>0.12</v>
      </c>
    </row>
    <row r="9" spans="1:6" x14ac:dyDescent="0.3">
      <c r="A9" t="s">
        <v>283</v>
      </c>
      <c r="B9" s="52">
        <v>0.1</v>
      </c>
      <c r="C9" s="52">
        <v>0.15</v>
      </c>
      <c r="D9" s="52">
        <v>0.05</v>
      </c>
      <c r="E9" t="s">
        <v>274</v>
      </c>
      <c r="F9" s="44">
        <f t="shared" si="0"/>
        <v>0.1</v>
      </c>
    </row>
    <row r="10" spans="1:6" x14ac:dyDescent="0.3">
      <c r="A10" t="s">
        <v>284</v>
      </c>
      <c r="B10" s="52">
        <v>-0.15</v>
      </c>
      <c r="C10" s="52">
        <v>-0.08</v>
      </c>
      <c r="D10" s="52">
        <v>-0.25</v>
      </c>
      <c r="E10" t="s">
        <v>274</v>
      </c>
      <c r="F10" s="44">
        <f t="shared" si="0"/>
        <v>-0.15</v>
      </c>
    </row>
    <row r="11" spans="1:6" x14ac:dyDescent="0.3">
      <c r="A11" t="s">
        <v>285</v>
      </c>
      <c r="B11" s="52">
        <v>-0.08</v>
      </c>
      <c r="C11" s="52">
        <v>0.02</v>
      </c>
      <c r="D11" s="52">
        <v>-0.18</v>
      </c>
      <c r="E11" t="s">
        <v>274</v>
      </c>
      <c r="F11" s="44">
        <f t="shared" si="0"/>
        <v>-0.08</v>
      </c>
    </row>
    <row r="12" spans="1:6" x14ac:dyDescent="0.3">
      <c r="A12" t="s">
        <v>286</v>
      </c>
      <c r="B12" s="52">
        <v>0.02</v>
      </c>
      <c r="C12" s="52">
        <v>0.08</v>
      </c>
      <c r="D12" s="52">
        <v>-0.1</v>
      </c>
      <c r="E12" t="s">
        <v>274</v>
      </c>
      <c r="F12" s="44">
        <f t="shared" si="0"/>
        <v>0.02</v>
      </c>
    </row>
    <row r="13" spans="1:6" x14ac:dyDescent="0.3">
      <c r="A13" t="s">
        <v>287</v>
      </c>
      <c r="B13" s="52">
        <v>0.06</v>
      </c>
      <c r="C13" s="52">
        <v>0.12</v>
      </c>
      <c r="D13" s="52">
        <v>-0.05</v>
      </c>
      <c r="E13" t="s">
        <v>274</v>
      </c>
      <c r="F13" s="44">
        <f t="shared" si="0"/>
        <v>0.06</v>
      </c>
    </row>
    <row r="14" spans="1:6" x14ac:dyDescent="0.3">
      <c r="A14" t="s">
        <v>288</v>
      </c>
      <c r="B14" s="52">
        <v>0.1</v>
      </c>
      <c r="C14" s="52">
        <v>0.16</v>
      </c>
      <c r="D14" s="52">
        <v>0</v>
      </c>
      <c r="E14" t="s">
        <v>274</v>
      </c>
      <c r="F14" s="44">
        <f t="shared" si="0"/>
        <v>0.1</v>
      </c>
    </row>
    <row r="15" spans="1:6" x14ac:dyDescent="0.3">
      <c r="A15" t="s">
        <v>289</v>
      </c>
      <c r="B15" s="52">
        <v>0.21</v>
      </c>
      <c r="C15" s="52">
        <v>0.21</v>
      </c>
      <c r="D15" s="52">
        <v>0.21</v>
      </c>
      <c r="E15" t="s">
        <v>274</v>
      </c>
      <c r="F15" s="44">
        <f t="shared" si="0"/>
        <v>0.21</v>
      </c>
    </row>
    <row r="16" spans="1:6" x14ac:dyDescent="0.3">
      <c r="A16" t="s">
        <v>290</v>
      </c>
      <c r="B16" s="52">
        <v>0.06</v>
      </c>
      <c r="C16" s="52">
        <v>0.05</v>
      </c>
      <c r="D16" s="52">
        <v>7.0000000000000007E-2</v>
      </c>
      <c r="E16" t="s">
        <v>274</v>
      </c>
      <c r="F16" s="44">
        <f t="shared" si="0"/>
        <v>0.06</v>
      </c>
    </row>
    <row r="17" spans="1:6" x14ac:dyDescent="0.3">
      <c r="A17" t="s">
        <v>291</v>
      </c>
      <c r="B17" s="52">
        <v>0.09</v>
      </c>
      <c r="C17" s="52">
        <v>7.0000000000000007E-2</v>
      </c>
      <c r="D17" s="52">
        <v>0.11</v>
      </c>
      <c r="E17" t="s">
        <v>274</v>
      </c>
      <c r="F17" s="44">
        <f t="shared" si="0"/>
        <v>0.09</v>
      </c>
    </row>
    <row r="18" spans="1:6" x14ac:dyDescent="0.3">
      <c r="A18" t="s">
        <v>292</v>
      </c>
      <c r="B18" s="52">
        <v>0.03</v>
      </c>
      <c r="C18" s="52">
        <v>0.02</v>
      </c>
      <c r="D18" s="52">
        <v>0.04</v>
      </c>
      <c r="E18" t="s">
        <v>274</v>
      </c>
      <c r="F18" s="44">
        <f t="shared" si="0"/>
        <v>0.03</v>
      </c>
    </row>
    <row r="19" spans="1:6" x14ac:dyDescent="0.3">
      <c r="A19" t="s">
        <v>293</v>
      </c>
      <c r="B19" s="52">
        <v>0.12</v>
      </c>
      <c r="C19" s="52">
        <v>0.1</v>
      </c>
      <c r="D19" s="52">
        <v>0.14000000000000001</v>
      </c>
      <c r="E19" t="s">
        <v>274</v>
      </c>
      <c r="F19" s="44">
        <f t="shared" si="0"/>
        <v>0.12</v>
      </c>
    </row>
    <row r="20" spans="1:6" x14ac:dyDescent="0.3">
      <c r="A20" t="s">
        <v>294</v>
      </c>
      <c r="B20" s="52">
        <v>0.03</v>
      </c>
      <c r="C20" s="52">
        <v>0.04</v>
      </c>
      <c r="D20" s="52">
        <v>0.02</v>
      </c>
      <c r="E20" t="s">
        <v>274</v>
      </c>
      <c r="F20" s="44">
        <f t="shared" si="0"/>
        <v>0.03</v>
      </c>
    </row>
    <row r="21" spans="1:6" x14ac:dyDescent="0.3">
      <c r="B21" s="52"/>
      <c r="C21" s="52"/>
      <c r="D21"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CBCE1-AADE-4BC2-A3D1-1D90C94CF443}">
  <dimension ref="A1:G18"/>
  <sheetViews>
    <sheetView workbookViewId="0">
      <selection activeCell="A25" sqref="A25"/>
    </sheetView>
  </sheetViews>
  <sheetFormatPr defaultRowHeight="14.4" x14ac:dyDescent="0.3"/>
  <cols>
    <col min="1" max="1" width="43.21875" customWidth="1"/>
    <col min="2" max="2" width="17.44140625" customWidth="1"/>
    <col min="3" max="3" width="18.77734375" customWidth="1"/>
    <col min="4" max="4" width="19.77734375" customWidth="1"/>
    <col min="5" max="5" width="21" customWidth="1"/>
    <col min="6" max="6" width="19.21875" customWidth="1"/>
    <col min="7" max="7" width="18.21875" customWidth="1"/>
  </cols>
  <sheetData>
    <row r="1" spans="1:7" ht="15.6" x14ac:dyDescent="0.35">
      <c r="A1" s="48" t="s">
        <v>325</v>
      </c>
    </row>
    <row r="2" spans="1:7" x14ac:dyDescent="0.3">
      <c r="A2" s="89" t="s">
        <v>255</v>
      </c>
    </row>
    <row r="4" spans="1:7" x14ac:dyDescent="0.3">
      <c r="A4" s="61" t="s">
        <v>249</v>
      </c>
      <c r="B4" s="61" t="s">
        <v>314</v>
      </c>
      <c r="C4" s="61" t="s">
        <v>315</v>
      </c>
      <c r="D4" s="61" t="s">
        <v>316</v>
      </c>
      <c r="E4" s="61" t="s">
        <v>317</v>
      </c>
      <c r="F4" s="61" t="s">
        <v>318</v>
      </c>
      <c r="G4" s="61" t="s">
        <v>319</v>
      </c>
    </row>
    <row r="5" spans="1:7" x14ac:dyDescent="0.3">
      <c r="A5" s="32" t="s">
        <v>78</v>
      </c>
      <c r="B5" s="32">
        <f>Clean_Financials!E3</f>
        <v>2322.9989999999998</v>
      </c>
      <c r="C5" s="55">
        <f>B5*(1+Assumptions!F5)</f>
        <v>2903.7487499999997</v>
      </c>
      <c r="D5" s="55">
        <f>C5*(1+Assumptions!F6)</f>
        <v>3484.4984999999997</v>
      </c>
      <c r="E5" s="55">
        <f>D5*(1+Assumptions!F7)</f>
        <v>4042.0182599999994</v>
      </c>
      <c r="F5" s="55">
        <f>E5*(1+Assumptions!F8)</f>
        <v>4527.0604512</v>
      </c>
      <c r="G5" s="55">
        <f>F5*(1+Assumptions!F9)</f>
        <v>4979.7664963200004</v>
      </c>
    </row>
    <row r="6" spans="1:7" x14ac:dyDescent="0.3">
      <c r="A6" t="s">
        <v>210</v>
      </c>
      <c r="B6" s="52">
        <f>Clean_Financials!E8</f>
        <v>0.46285953582684969</v>
      </c>
      <c r="C6" s="52">
        <f>Assumptions!F5</f>
        <v>0.25</v>
      </c>
      <c r="D6" s="52">
        <f>Assumptions!F6</f>
        <v>0.2</v>
      </c>
      <c r="E6" s="52">
        <f>Assumptions!F7</f>
        <v>0.16</v>
      </c>
      <c r="F6" s="52">
        <f>Assumptions!F8</f>
        <v>0.12</v>
      </c>
      <c r="G6" s="52">
        <f>Assumptions!F9</f>
        <v>0.1</v>
      </c>
    </row>
    <row r="7" spans="1:7" x14ac:dyDescent="0.3">
      <c r="A7" t="s">
        <v>213</v>
      </c>
      <c r="B7" s="52">
        <f>Clean_Financials!E11</f>
        <v>-0.26510859453663133</v>
      </c>
      <c r="C7" s="52">
        <f>Assumptions!F10</f>
        <v>-0.15</v>
      </c>
      <c r="D7" s="52">
        <f>Assumptions!F11</f>
        <v>-0.08</v>
      </c>
      <c r="E7" s="52">
        <f>Assumptions!F12</f>
        <v>0.02</v>
      </c>
      <c r="F7" s="52">
        <f>Assumptions!F13</f>
        <v>0.06</v>
      </c>
      <c r="G7" s="52">
        <f>Assumptions!F14</f>
        <v>0.1</v>
      </c>
    </row>
    <row r="8" spans="1:7" s="32" customFormat="1" x14ac:dyDescent="0.3">
      <c r="A8" s="32" t="s">
        <v>113</v>
      </c>
      <c r="B8" s="32">
        <f t="shared" ref="B8:G8" si="0">B5*B7</f>
        <v>-615.84699999999998</v>
      </c>
      <c r="C8" s="55">
        <f t="shared" si="0"/>
        <v>-435.56231249999996</v>
      </c>
      <c r="D8" s="55">
        <f t="shared" si="0"/>
        <v>-278.75988000000001</v>
      </c>
      <c r="E8" s="55">
        <f t="shared" si="0"/>
        <v>80.840365199999994</v>
      </c>
      <c r="F8" s="55">
        <f t="shared" si="0"/>
        <v>271.62362707199998</v>
      </c>
      <c r="G8" s="55">
        <f t="shared" si="0"/>
        <v>497.97664963200009</v>
      </c>
    </row>
    <row r="9" spans="1:7" x14ac:dyDescent="0.3">
      <c r="A9" t="s">
        <v>289</v>
      </c>
      <c r="C9" s="52">
        <f>Assumptions!F15</f>
        <v>0.21</v>
      </c>
      <c r="D9" s="52">
        <f>Assumptions!F15</f>
        <v>0.21</v>
      </c>
      <c r="E9" s="52">
        <f>Assumptions!F15</f>
        <v>0.21</v>
      </c>
      <c r="F9" s="52">
        <f>Assumptions!F15</f>
        <v>0.21</v>
      </c>
      <c r="G9" s="52">
        <f>Assumptions!F15</f>
        <v>0.21</v>
      </c>
    </row>
    <row r="10" spans="1:7" x14ac:dyDescent="0.3">
      <c r="A10" t="s">
        <v>320</v>
      </c>
      <c r="C10">
        <f>IF(C8&gt;0,C8*C9,0)</f>
        <v>0</v>
      </c>
      <c r="D10">
        <f>IF(D8&gt;0,D8*D9,0)</f>
        <v>0</v>
      </c>
      <c r="E10" s="54">
        <f>IF(E8&gt;0,E8*E9,0)</f>
        <v>16.976476691999999</v>
      </c>
      <c r="F10" s="54">
        <f>IF(F8&gt;0,F8*F9,0)</f>
        <v>57.040961685119996</v>
      </c>
      <c r="G10" s="54">
        <f>IF(G8&gt;0,G8*G9,0)</f>
        <v>104.57509642272001</v>
      </c>
    </row>
    <row r="11" spans="1:7" s="32" customFormat="1" x14ac:dyDescent="0.3">
      <c r="A11" s="32" t="s">
        <v>321</v>
      </c>
      <c r="C11" s="55">
        <f>C8-C10</f>
        <v>-435.56231249999996</v>
      </c>
      <c r="D11" s="55">
        <f>D8-D10</f>
        <v>-278.75988000000001</v>
      </c>
      <c r="E11" s="55">
        <f>E8-E10</f>
        <v>63.863888507999995</v>
      </c>
      <c r="F11" s="55">
        <f>F8-F10</f>
        <v>214.58266538687997</v>
      </c>
      <c r="G11" s="55">
        <f>G8-G10</f>
        <v>393.40155320928011</v>
      </c>
    </row>
    <row r="12" spans="1:7" x14ac:dyDescent="0.3">
      <c r="A12" t="s">
        <v>290</v>
      </c>
      <c r="C12" s="52">
        <f>Assumptions!F16</f>
        <v>0.06</v>
      </c>
      <c r="D12" s="52">
        <f>Assumptions!F16</f>
        <v>0.06</v>
      </c>
      <c r="E12" s="52">
        <f>Assumptions!F16</f>
        <v>0.06</v>
      </c>
      <c r="F12" s="52">
        <f>Assumptions!F16</f>
        <v>0.06</v>
      </c>
      <c r="G12" s="52">
        <f>Assumptions!F16</f>
        <v>0.06</v>
      </c>
    </row>
    <row r="13" spans="1:7" x14ac:dyDescent="0.3">
      <c r="A13" t="s">
        <v>322</v>
      </c>
      <c r="C13" s="54">
        <f>C5*C12</f>
        <v>174.22492499999998</v>
      </c>
      <c r="D13" s="54">
        <f>D5*D12</f>
        <v>209.06990999999996</v>
      </c>
      <c r="E13" s="54">
        <f>E5*E12</f>
        <v>242.52109559999997</v>
      </c>
      <c r="F13" s="54">
        <f>F5*F12</f>
        <v>271.62362707199998</v>
      </c>
      <c r="G13" s="54">
        <f>G5*G12</f>
        <v>298.78598977920001</v>
      </c>
    </row>
    <row r="14" spans="1:7" x14ac:dyDescent="0.3">
      <c r="A14" t="s">
        <v>291</v>
      </c>
      <c r="C14" s="52">
        <f>Assumptions!F17</f>
        <v>0.09</v>
      </c>
      <c r="D14" s="52">
        <f>Assumptions!F17</f>
        <v>0.09</v>
      </c>
      <c r="E14" s="52">
        <f>Assumptions!F17</f>
        <v>0.09</v>
      </c>
      <c r="F14" s="52">
        <f>Assumptions!F17</f>
        <v>0.09</v>
      </c>
      <c r="G14" s="52">
        <f>Assumptions!F17</f>
        <v>0.09</v>
      </c>
    </row>
    <row r="15" spans="1:7" x14ac:dyDescent="0.3">
      <c r="A15" t="s">
        <v>323</v>
      </c>
      <c r="C15" s="54">
        <f>-(C5*C14)</f>
        <v>-261.33738749999998</v>
      </c>
      <c r="D15" s="54">
        <f>-(D5*D14)</f>
        <v>-313.60486499999996</v>
      </c>
      <c r="E15" s="54">
        <f>-(E5*E14)</f>
        <v>-363.78164339999995</v>
      </c>
      <c r="F15" s="54">
        <f>-(F5*F14)</f>
        <v>-407.43544060799996</v>
      </c>
      <c r="G15" s="54">
        <f>-(G5*G14)</f>
        <v>-448.17898466880001</v>
      </c>
    </row>
    <row r="16" spans="1:7" x14ac:dyDescent="0.3">
      <c r="A16" t="s">
        <v>292</v>
      </c>
      <c r="C16" s="52">
        <f>Assumptions!F18</f>
        <v>0.03</v>
      </c>
      <c r="D16" s="52">
        <f>Assumptions!F18</f>
        <v>0.03</v>
      </c>
      <c r="E16" s="52">
        <f>Assumptions!F18</f>
        <v>0.03</v>
      </c>
      <c r="F16" s="52">
        <f>Assumptions!F18</f>
        <v>0.03</v>
      </c>
      <c r="G16" s="52">
        <f>Assumptions!F18</f>
        <v>0.03</v>
      </c>
    </row>
    <row r="17" spans="1:7" x14ac:dyDescent="0.3">
      <c r="A17" t="s">
        <v>324</v>
      </c>
      <c r="C17" s="54">
        <f>-(C5*C16)</f>
        <v>-87.112462499999992</v>
      </c>
      <c r="D17" s="54">
        <f>-(D5*D16)</f>
        <v>-104.53495499999998</v>
      </c>
      <c r="E17" s="54">
        <f>-(E5*E16)</f>
        <v>-121.26054779999998</v>
      </c>
      <c r="F17" s="54">
        <f>-(F5*F16)</f>
        <v>-135.81181353599999</v>
      </c>
      <c r="G17" s="54">
        <f>-(G5*G16)</f>
        <v>-149.3929948896</v>
      </c>
    </row>
    <row r="18" spans="1:7" s="32" customFormat="1" x14ac:dyDescent="0.3">
      <c r="A18" s="32" t="s">
        <v>203</v>
      </c>
      <c r="B18" s="32">
        <f>Clean_Financials!E6</f>
        <v>-619.53599999999994</v>
      </c>
      <c r="C18" s="55">
        <f>C11+C13+C15+C17</f>
        <v>-609.78723749999995</v>
      </c>
      <c r="D18" s="55">
        <f>D11+D13+D15+D17</f>
        <v>-487.82979</v>
      </c>
      <c r="E18" s="55">
        <f>E11+E13+E15+E17</f>
        <v>-178.65720709199996</v>
      </c>
      <c r="F18" s="55">
        <f>F11+F13+F15+F17</f>
        <v>-57.04096168512001</v>
      </c>
      <c r="G18" s="55">
        <f>G11+G13+G15+G17</f>
        <v>94.615563430080101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F432-FE5D-4932-B620-22C190169335}">
  <dimension ref="A1:G13"/>
  <sheetViews>
    <sheetView workbookViewId="0">
      <selection activeCell="B22" sqref="B22"/>
    </sheetView>
  </sheetViews>
  <sheetFormatPr defaultRowHeight="14.4" x14ac:dyDescent="0.3"/>
  <cols>
    <col min="1" max="1" width="43.5546875" customWidth="1"/>
    <col min="2" max="2" width="21.5546875" customWidth="1"/>
    <col min="3" max="3" width="21.77734375" customWidth="1"/>
    <col min="4" max="4" width="27.6640625" customWidth="1"/>
    <col min="5" max="5" width="16.33203125" bestFit="1" customWidth="1"/>
    <col min="6" max="6" width="15.6640625" bestFit="1" customWidth="1"/>
    <col min="7" max="7" width="16.77734375" customWidth="1"/>
  </cols>
  <sheetData>
    <row r="1" spans="1:7" ht="17.399999999999999" x14ac:dyDescent="0.45">
      <c r="A1" s="88" t="s">
        <v>332</v>
      </c>
    </row>
    <row r="2" spans="1:7" ht="15" thickBot="1" x14ac:dyDescent="0.35">
      <c r="A2" s="87" t="s">
        <v>255</v>
      </c>
    </row>
    <row r="4" spans="1:7" x14ac:dyDescent="0.3">
      <c r="A4" s="62" t="s">
        <v>249</v>
      </c>
      <c r="B4" s="62" t="s">
        <v>315</v>
      </c>
      <c r="C4" s="62" t="s">
        <v>316</v>
      </c>
      <c r="D4" s="62" t="s">
        <v>317</v>
      </c>
      <c r="E4" s="62" t="s">
        <v>318</v>
      </c>
      <c r="F4" s="62" t="s">
        <v>319</v>
      </c>
      <c r="G4" s="62" t="s">
        <v>326</v>
      </c>
    </row>
    <row r="5" spans="1:7" x14ac:dyDescent="0.3">
      <c r="A5" t="s">
        <v>203</v>
      </c>
      <c r="B5" s="42">
        <f>Forecast_Model!C18</f>
        <v>-609.78723749999995</v>
      </c>
      <c r="C5" s="42">
        <f>Forecast_Model!D18</f>
        <v>-487.82979</v>
      </c>
      <c r="D5" s="42">
        <f>Forecast_Model!E18</f>
        <v>-178.65720709199996</v>
      </c>
      <c r="E5" s="42">
        <f>Forecast_Model!F18</f>
        <v>-57.04096168512001</v>
      </c>
      <c r="F5" s="42">
        <f>Forecast_Model!G18</f>
        <v>94.615563430080101</v>
      </c>
    </row>
    <row r="6" spans="1:7" x14ac:dyDescent="0.3">
      <c r="A6" t="s">
        <v>327</v>
      </c>
      <c r="B6">
        <v>1</v>
      </c>
      <c r="C6">
        <v>2</v>
      </c>
      <c r="D6">
        <v>3</v>
      </c>
      <c r="E6">
        <v>4</v>
      </c>
      <c r="F6">
        <v>5</v>
      </c>
    </row>
    <row r="7" spans="1:7" x14ac:dyDescent="0.3">
      <c r="A7" t="s">
        <v>293</v>
      </c>
      <c r="B7" s="52">
        <f>Assumptions!F19</f>
        <v>0.12</v>
      </c>
      <c r="C7" s="52">
        <f>Assumptions!F19</f>
        <v>0.12</v>
      </c>
      <c r="D7" s="52">
        <f>Assumptions!F19</f>
        <v>0.12</v>
      </c>
      <c r="E7" s="52">
        <f>Assumptions!F19</f>
        <v>0.12</v>
      </c>
      <c r="F7" s="52">
        <f>Assumptions!F19</f>
        <v>0.12</v>
      </c>
    </row>
    <row r="8" spans="1:7" x14ac:dyDescent="0.3">
      <c r="A8" t="s">
        <v>328</v>
      </c>
      <c r="B8" s="42">
        <f>1/(1+B7)^B6</f>
        <v>0.89285714285714279</v>
      </c>
      <c r="C8" s="42">
        <f>1/(1+C7)^C6</f>
        <v>0.79719387755102034</v>
      </c>
      <c r="D8" s="42">
        <f>1/(1+D7)^D6</f>
        <v>0.71178024781341087</v>
      </c>
      <c r="E8" s="42">
        <f>1/(1+E7)^E6</f>
        <v>0.63551807840483121</v>
      </c>
      <c r="F8" s="42">
        <f>1/(1+F7)^F6</f>
        <v>0.56742685571859919</v>
      </c>
    </row>
    <row r="9" spans="1:7" s="32" customFormat="1" x14ac:dyDescent="0.3">
      <c r="A9" s="32" t="s">
        <v>329</v>
      </c>
      <c r="B9" s="63">
        <f>B5*B8</f>
        <v>-544.4528906249999</v>
      </c>
      <c r="C9" s="63">
        <f>C5*C8</f>
        <v>-388.89492187499997</v>
      </c>
      <c r="D9" s="63">
        <f>D5*D8</f>
        <v>-127.1646711375956</v>
      </c>
      <c r="E9" s="63">
        <f>E5*E8</f>
        <v>-36.250562360491074</v>
      </c>
      <c r="F9" s="63">
        <f>F5*F8</f>
        <v>53.687411659174032</v>
      </c>
    </row>
    <row r="10" spans="1:7" x14ac:dyDescent="0.3">
      <c r="A10" t="s">
        <v>294</v>
      </c>
      <c r="G10" s="52">
        <f>Assumptions!F20</f>
        <v>0.03</v>
      </c>
    </row>
    <row r="11" spans="1:7" s="32" customFormat="1" x14ac:dyDescent="0.3">
      <c r="A11" s="32" t="s">
        <v>326</v>
      </c>
      <c r="B11" s="63"/>
      <c r="C11" s="63"/>
      <c r="D11" s="63"/>
      <c r="E11" s="63"/>
      <c r="F11" s="63"/>
      <c r="G11" s="63">
        <f>F5*(1+G10)/(F7-G10)</f>
        <v>1082.8225592553613</v>
      </c>
    </row>
    <row r="12" spans="1:7" s="32" customFormat="1" x14ac:dyDescent="0.3">
      <c r="A12" s="32" t="s">
        <v>330</v>
      </c>
      <c r="B12" s="63"/>
      <c r="C12" s="63"/>
      <c r="D12" s="63"/>
      <c r="E12" s="63"/>
      <c r="F12" s="63"/>
      <c r="G12" s="63">
        <f>G11*F8</f>
        <v>614.42260009943618</v>
      </c>
    </row>
    <row r="13" spans="1:7" s="32" customFormat="1" x14ac:dyDescent="0.3">
      <c r="A13" s="32" t="s">
        <v>331</v>
      </c>
      <c r="B13" s="63"/>
      <c r="C13" s="63"/>
      <c r="D13" s="63"/>
      <c r="E13" s="63"/>
      <c r="F13" s="63"/>
      <c r="G13" s="63">
        <f>SUM(B9:F9)+G12</f>
        <v>-428.65303423947637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70F3-28DD-45D3-B8A1-7B282497EB0A}">
  <dimension ref="A1:I11"/>
  <sheetViews>
    <sheetView workbookViewId="0">
      <selection activeCell="A2" sqref="A2"/>
    </sheetView>
  </sheetViews>
  <sheetFormatPr defaultRowHeight="14.4" x14ac:dyDescent="0.3"/>
  <cols>
    <col min="1" max="1" width="37.33203125" customWidth="1"/>
    <col min="2" max="2" width="19.33203125" customWidth="1"/>
    <col min="3" max="3" width="19.6640625" customWidth="1"/>
    <col min="4" max="4" width="18.5546875" customWidth="1"/>
    <col min="5" max="5" width="17.77734375" customWidth="1"/>
    <col min="6" max="6" width="18.77734375" customWidth="1"/>
    <col min="7" max="7" width="13.88671875" customWidth="1"/>
    <col min="8" max="8" width="14.88671875" customWidth="1"/>
    <col min="9" max="9" width="54.5546875" customWidth="1"/>
  </cols>
  <sheetData>
    <row r="1" spans="1:9" ht="15.6" x14ac:dyDescent="0.3">
      <c r="A1" s="60" t="s">
        <v>348</v>
      </c>
    </row>
    <row r="2" spans="1:9" ht="15" thickBot="1" x14ac:dyDescent="0.35">
      <c r="A2" s="87" t="s">
        <v>255</v>
      </c>
    </row>
    <row r="4" spans="1:9" x14ac:dyDescent="0.3">
      <c r="A4" s="61" t="s">
        <v>37</v>
      </c>
      <c r="B4" s="61" t="s">
        <v>333</v>
      </c>
      <c r="C4" s="61" t="s">
        <v>334</v>
      </c>
      <c r="D4" s="61" t="s">
        <v>335</v>
      </c>
      <c r="E4" s="61" t="s">
        <v>336</v>
      </c>
      <c r="F4" s="61" t="s">
        <v>337</v>
      </c>
      <c r="G4" s="61" t="s">
        <v>338</v>
      </c>
      <c r="H4" s="61" t="s">
        <v>22</v>
      </c>
      <c r="I4" s="61" t="s">
        <v>257</v>
      </c>
    </row>
    <row r="5" spans="1:9" x14ac:dyDescent="0.3">
      <c r="A5" t="s">
        <v>44</v>
      </c>
      <c r="B5" s="54">
        <f>Clean_Financials!C2</f>
        <v>15483.236999999999</v>
      </c>
      <c r="C5" s="52">
        <v>0.25</v>
      </c>
      <c r="D5" s="54">
        <f>B5*(1+C5)</f>
        <v>19354.046249999999</v>
      </c>
      <c r="E5" s="54">
        <f>Clean_Financials!D2</f>
        <v>20200</v>
      </c>
      <c r="F5" s="54">
        <f t="shared" ref="F5:F11" si="0">E5-D5</f>
        <v>845.95375000000058</v>
      </c>
      <c r="G5" s="45">
        <f>F5/D5</f>
        <v>4.3709400043414726E-2</v>
      </c>
      <c r="H5" s="64" t="str">
        <f>IF(F5&gt;=0,"Favorable","Unfavorable")</f>
        <v>Favorable</v>
      </c>
      <c r="I5" t="s">
        <v>339</v>
      </c>
    </row>
    <row r="6" spans="1:9" x14ac:dyDescent="0.3">
      <c r="A6" s="32" t="s">
        <v>78</v>
      </c>
      <c r="B6" s="55">
        <f>Clean_Financials!C3</f>
        <v>1349.2919999999999</v>
      </c>
      <c r="C6" s="65">
        <v>0.2</v>
      </c>
      <c r="D6" s="55">
        <f>B6*(1+C6)</f>
        <v>1619.1503999999998</v>
      </c>
      <c r="E6" s="55">
        <f>Clean_Financials!D3</f>
        <v>1587.9849999999999</v>
      </c>
      <c r="F6" s="55">
        <f t="shared" si="0"/>
        <v>-31.165399999999863</v>
      </c>
      <c r="G6" s="58">
        <f>F6/D6</f>
        <v>-1.9247995738999827E-2</v>
      </c>
      <c r="H6" s="85" t="str">
        <f>IF(F6&gt;=0,"Favorable","Unfavorable")</f>
        <v>Unfavorable</v>
      </c>
      <c r="I6" s="32" t="s">
        <v>340</v>
      </c>
    </row>
    <row r="7" spans="1:9" x14ac:dyDescent="0.3">
      <c r="A7" s="32" t="s">
        <v>110</v>
      </c>
      <c r="B7" s="55">
        <f>Raw_10K_Extract!D24</f>
        <v>2215.34</v>
      </c>
      <c r="C7" s="65">
        <v>0.15</v>
      </c>
      <c r="D7" s="55">
        <f>B7*(1+C7)</f>
        <v>2547.6410000000001</v>
      </c>
      <c r="E7" s="55">
        <f>Raw_10K_Extract!E24</f>
        <v>2788.8470000000002</v>
      </c>
      <c r="F7" s="55">
        <f t="shared" si="0"/>
        <v>241.20600000000013</v>
      </c>
      <c r="G7" s="58">
        <f>F7/D7</f>
        <v>9.4678174829185169E-2</v>
      </c>
      <c r="H7" s="85" t="str">
        <f>IF(F7&lt;=0,"Favorable","Unfavorable")</f>
        <v>Unfavorable</v>
      </c>
      <c r="I7" s="32" t="s">
        <v>341</v>
      </c>
    </row>
    <row r="8" spans="1:9" x14ac:dyDescent="0.3">
      <c r="A8" s="32" t="s">
        <v>113</v>
      </c>
      <c r="B8" s="55">
        <f>Clean_Financials!C4</f>
        <v>-866.048</v>
      </c>
      <c r="C8" s="32" t="s">
        <v>342</v>
      </c>
      <c r="D8" s="55">
        <f>B8*0.9</f>
        <v>-779.44320000000005</v>
      </c>
      <c r="E8" s="55">
        <f>Clean_Financials!D4</f>
        <v>-1200.8620000000001</v>
      </c>
      <c r="F8" s="55">
        <f t="shared" si="0"/>
        <v>-421.41880000000003</v>
      </c>
      <c r="G8" s="58">
        <f>F8/ABS(D8)</f>
        <v>-0.54066646549742181</v>
      </c>
      <c r="H8" s="85" t="str">
        <f>IF(E8&gt;D8,"Favorable","Unfavorable")</f>
        <v>Unfavorable</v>
      </c>
      <c r="I8" s="32" t="s">
        <v>343</v>
      </c>
    </row>
    <row r="9" spans="1:9" x14ac:dyDescent="0.3">
      <c r="A9" s="32" t="s">
        <v>121</v>
      </c>
      <c r="B9" s="55">
        <f>Clean_Financials!C5</f>
        <v>-707.41700000000003</v>
      </c>
      <c r="C9" s="32" t="s">
        <v>342</v>
      </c>
      <c r="D9" s="55">
        <f>B9*0.9</f>
        <v>-636.67529999999999</v>
      </c>
      <c r="E9" s="55">
        <f>Clean_Financials!D5</f>
        <v>-985.34500000000003</v>
      </c>
      <c r="F9" s="55">
        <f t="shared" si="0"/>
        <v>-348.66970000000003</v>
      </c>
      <c r="G9" s="58">
        <f>F9/ABS(D9)</f>
        <v>-0.54764131732454524</v>
      </c>
      <c r="H9" s="85" t="str">
        <f>IF(E9&gt;D9,"Favorable","Unfavorable")</f>
        <v>Unfavorable</v>
      </c>
      <c r="I9" s="32" t="s">
        <v>344</v>
      </c>
    </row>
    <row r="10" spans="1:9" x14ac:dyDescent="0.3">
      <c r="A10" s="32" t="s">
        <v>203</v>
      </c>
      <c r="B10" s="55">
        <f>Clean_Financials!C6</f>
        <v>-412.96100000000001</v>
      </c>
      <c r="C10" s="32" t="s">
        <v>345</v>
      </c>
      <c r="D10" s="55">
        <f>B10*0.95</f>
        <v>-392.31295</v>
      </c>
      <c r="E10" s="55">
        <f>Clean_Financials!D6</f>
        <v>-617.52700000000004</v>
      </c>
      <c r="F10" s="55">
        <f t="shared" si="0"/>
        <v>-225.21405000000004</v>
      </c>
      <c r="G10" s="58">
        <f>F10/ABS(D10)</f>
        <v>-0.57406733578384306</v>
      </c>
      <c r="H10" s="85" t="str">
        <f>IF(E10&gt;D10,"Favorable","Unfavorable")</f>
        <v>Unfavorable</v>
      </c>
      <c r="I10" s="32" t="s">
        <v>346</v>
      </c>
    </row>
    <row r="11" spans="1:9" x14ac:dyDescent="0.3">
      <c r="A11" t="s">
        <v>45</v>
      </c>
      <c r="B11" s="54">
        <f>Clean_Financials!C14</f>
        <v>13.98</v>
      </c>
      <c r="C11" s="52">
        <v>0.15</v>
      </c>
      <c r="D11" s="54">
        <f>B11*(1+C11)</f>
        <v>16.076999999999998</v>
      </c>
      <c r="E11" s="54">
        <f>Clean_Financials!D14</f>
        <v>16.469000000000001</v>
      </c>
      <c r="F11" s="54">
        <f t="shared" si="0"/>
        <v>0.39200000000000301</v>
      </c>
      <c r="G11" s="45">
        <f>F11/D11</f>
        <v>2.4382658456179825E-2</v>
      </c>
      <c r="H11" s="64" t="str">
        <f>IF(F11&gt;=0,"Favorable","Unfavorable")</f>
        <v>Favorable</v>
      </c>
      <c r="I11" t="s">
        <v>347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11AD-681D-4B10-BBDE-B47120DCA2C1}">
  <dimension ref="A1:E12"/>
  <sheetViews>
    <sheetView workbookViewId="0">
      <selection activeCell="C10" sqref="C10"/>
    </sheetView>
  </sheetViews>
  <sheetFormatPr defaultRowHeight="14.4" x14ac:dyDescent="0.3"/>
  <cols>
    <col min="1" max="1" width="39.44140625" customWidth="1"/>
    <col min="2" max="2" width="41.33203125" customWidth="1"/>
    <col min="3" max="3" width="32" customWidth="1"/>
    <col min="4" max="4" width="36.21875" customWidth="1"/>
    <col min="5" max="5" width="35.6640625" customWidth="1"/>
  </cols>
  <sheetData>
    <row r="1" spans="1:5" ht="15.6" x14ac:dyDescent="0.3">
      <c r="A1" s="60" t="s">
        <v>401</v>
      </c>
    </row>
    <row r="2" spans="1:5" ht="15" thickBot="1" x14ac:dyDescent="0.35">
      <c r="A2" s="87" t="s">
        <v>255</v>
      </c>
    </row>
    <row r="4" spans="1:5" x14ac:dyDescent="0.3">
      <c r="A4" s="103" t="s">
        <v>37</v>
      </c>
      <c r="B4" s="104" t="s">
        <v>274</v>
      </c>
      <c r="C4" s="105" t="s">
        <v>275</v>
      </c>
      <c r="D4" s="106" t="s">
        <v>276</v>
      </c>
      <c r="E4" s="103" t="s">
        <v>257</v>
      </c>
    </row>
    <row r="5" spans="1:5" s="32" customFormat="1" x14ac:dyDescent="0.3">
      <c r="A5" s="32" t="s">
        <v>349</v>
      </c>
      <c r="B5" s="67">
        <v>4979.8</v>
      </c>
      <c r="C5" s="70">
        <v>6414.5</v>
      </c>
      <c r="D5" s="73">
        <v>3640.3</v>
      </c>
      <c r="E5" s="32" t="s">
        <v>350</v>
      </c>
    </row>
    <row r="6" spans="1:5" x14ac:dyDescent="0.3">
      <c r="A6" t="s">
        <v>351</v>
      </c>
      <c r="B6" s="68">
        <v>0.1</v>
      </c>
      <c r="C6" s="71">
        <v>0.16</v>
      </c>
      <c r="D6" s="74">
        <v>0</v>
      </c>
      <c r="E6" t="s">
        <v>352</v>
      </c>
    </row>
    <row r="7" spans="1:5" s="32" customFormat="1" x14ac:dyDescent="0.3">
      <c r="A7" s="32" t="s">
        <v>353</v>
      </c>
      <c r="B7" s="67">
        <v>498</v>
      </c>
      <c r="C7" s="70">
        <v>1026.3</v>
      </c>
      <c r="D7" s="73">
        <v>0</v>
      </c>
      <c r="E7" s="32" t="s">
        <v>354</v>
      </c>
    </row>
    <row r="8" spans="1:5" s="32" customFormat="1" x14ac:dyDescent="0.3">
      <c r="A8" s="32" t="s">
        <v>355</v>
      </c>
      <c r="B8" s="67">
        <v>94.6</v>
      </c>
      <c r="C8" s="70">
        <v>513.20000000000005</v>
      </c>
      <c r="D8" s="73">
        <v>-618.9</v>
      </c>
      <c r="E8" s="32" t="s">
        <v>356</v>
      </c>
    </row>
    <row r="9" spans="1:5" x14ac:dyDescent="0.3">
      <c r="A9" t="s">
        <v>293</v>
      </c>
      <c r="B9" s="68">
        <v>0.12</v>
      </c>
      <c r="C9" s="71">
        <v>0.1</v>
      </c>
      <c r="D9" s="74">
        <v>0.14000000000000001</v>
      </c>
      <c r="E9" t="s">
        <v>357</v>
      </c>
    </row>
    <row r="10" spans="1:5" x14ac:dyDescent="0.3">
      <c r="A10" t="s">
        <v>294</v>
      </c>
      <c r="B10" s="68">
        <v>0.03</v>
      </c>
      <c r="C10" s="71">
        <v>0.04</v>
      </c>
      <c r="D10" s="74">
        <v>0.02</v>
      </c>
      <c r="E10" t="s">
        <v>358</v>
      </c>
    </row>
    <row r="11" spans="1:5" s="32" customFormat="1" x14ac:dyDescent="0.3">
      <c r="A11" s="32" t="s">
        <v>359</v>
      </c>
      <c r="B11" s="67">
        <v>-428.7</v>
      </c>
      <c r="C11" s="70">
        <v>4412.5</v>
      </c>
      <c r="D11" s="73">
        <v>-5054.8</v>
      </c>
      <c r="E11" s="32" t="s">
        <v>360</v>
      </c>
    </row>
    <row r="12" spans="1:5" x14ac:dyDescent="0.3">
      <c r="A12" t="s">
        <v>361</v>
      </c>
      <c r="B12" s="69" t="s">
        <v>365</v>
      </c>
      <c r="C12" s="72" t="s">
        <v>362</v>
      </c>
      <c r="D12" s="75" t="s">
        <v>363</v>
      </c>
      <c r="E12" t="s">
        <v>364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1BD4-411E-4BE8-A763-FC3E8E4E35A5}">
  <dimension ref="A1:F18"/>
  <sheetViews>
    <sheetView workbookViewId="0">
      <selection activeCell="D5" sqref="D5"/>
    </sheetView>
  </sheetViews>
  <sheetFormatPr defaultRowHeight="14.4" x14ac:dyDescent="0.3"/>
  <cols>
    <col min="1" max="1" width="22.6640625" customWidth="1"/>
    <col min="2" max="2" width="14.21875" customWidth="1"/>
    <col min="3" max="3" width="23.44140625" customWidth="1"/>
    <col min="4" max="4" width="35.44140625" customWidth="1"/>
    <col min="5" max="5" width="54.5546875" customWidth="1"/>
    <col min="6" max="6" width="50.77734375" customWidth="1"/>
  </cols>
  <sheetData>
    <row r="1" spans="1:6" ht="15.6" x14ac:dyDescent="0.3">
      <c r="A1" s="107" t="s">
        <v>402</v>
      </c>
      <c r="B1" s="107"/>
    </row>
    <row r="2" spans="1:6" ht="14.4" customHeight="1" x14ac:dyDescent="0.3">
      <c r="A2" s="108" t="s">
        <v>403</v>
      </c>
      <c r="B2" s="108"/>
    </row>
    <row r="3" spans="1:6" x14ac:dyDescent="0.3">
      <c r="A3" s="95"/>
      <c r="B3" s="95"/>
    </row>
    <row r="4" spans="1:6" x14ac:dyDescent="0.3">
      <c r="A4" s="49" t="s">
        <v>37</v>
      </c>
      <c r="B4" s="49" t="s">
        <v>366</v>
      </c>
      <c r="C4" s="49" t="s">
        <v>367</v>
      </c>
      <c r="D4" s="49" t="s">
        <v>368</v>
      </c>
      <c r="E4" s="49" t="s">
        <v>257</v>
      </c>
      <c r="F4" s="49" t="s">
        <v>43</v>
      </c>
    </row>
    <row r="5" spans="1:6" ht="28.8" x14ac:dyDescent="0.3">
      <c r="A5" t="s">
        <v>44</v>
      </c>
      <c r="B5">
        <v>26.6</v>
      </c>
      <c r="C5">
        <v>105</v>
      </c>
      <c r="D5" t="s">
        <v>369</v>
      </c>
      <c r="E5" t="s">
        <v>370</v>
      </c>
      <c r="F5" s="109" t="s">
        <v>371</v>
      </c>
    </row>
    <row r="6" spans="1:6" ht="28.8" x14ac:dyDescent="0.3">
      <c r="A6" s="11" t="s">
        <v>78</v>
      </c>
      <c r="B6" s="11">
        <v>2.2999999999999998</v>
      </c>
      <c r="C6" s="11">
        <v>2.8</v>
      </c>
      <c r="D6" s="11" t="s">
        <v>372</v>
      </c>
      <c r="E6" s="11" t="s">
        <v>373</v>
      </c>
      <c r="F6" s="2" t="s">
        <v>374</v>
      </c>
    </row>
    <row r="7" spans="1:6" x14ac:dyDescent="0.3">
      <c r="A7" t="s">
        <v>211</v>
      </c>
      <c r="B7" s="66">
        <v>8.6999999999999994E-2</v>
      </c>
      <c r="C7" s="66">
        <v>2.7E-2</v>
      </c>
      <c r="D7" t="s">
        <v>375</v>
      </c>
      <c r="E7" t="s">
        <v>376</v>
      </c>
      <c r="F7" s="109" t="s">
        <v>230</v>
      </c>
    </row>
    <row r="8" spans="1:6" x14ac:dyDescent="0.3">
      <c r="A8" t="s">
        <v>212</v>
      </c>
      <c r="B8" s="66">
        <v>1.7000000000000001E-2</v>
      </c>
      <c r="C8" s="66">
        <v>6.0000000000000001E-3</v>
      </c>
      <c r="D8" t="s">
        <v>377</v>
      </c>
      <c r="E8" t="s">
        <v>378</v>
      </c>
      <c r="F8" s="109" t="s">
        <v>379</v>
      </c>
    </row>
    <row r="9" spans="1:6" x14ac:dyDescent="0.3">
      <c r="A9" t="s">
        <v>213</v>
      </c>
      <c r="B9" s="66">
        <v>-0.26500000000000001</v>
      </c>
      <c r="C9" s="66">
        <v>-4.2999999999999997E-2</v>
      </c>
      <c r="D9" t="s">
        <v>380</v>
      </c>
      <c r="E9" t="s">
        <v>381</v>
      </c>
      <c r="F9" s="109" t="s">
        <v>382</v>
      </c>
    </row>
    <row r="10" spans="1:6" x14ac:dyDescent="0.3">
      <c r="A10" t="s">
        <v>45</v>
      </c>
      <c r="B10">
        <v>18.7</v>
      </c>
      <c r="C10">
        <v>93</v>
      </c>
      <c r="D10" t="s">
        <v>383</v>
      </c>
      <c r="E10" t="s">
        <v>384</v>
      </c>
      <c r="F10" s="109" t="s">
        <v>385</v>
      </c>
    </row>
    <row r="11" spans="1:6" x14ac:dyDescent="0.3">
      <c r="A11" t="s">
        <v>46</v>
      </c>
      <c r="B11" s="76">
        <v>303</v>
      </c>
      <c r="C11" s="76">
        <v>675</v>
      </c>
      <c r="D11" t="s">
        <v>386</v>
      </c>
      <c r="E11" t="s">
        <v>387</v>
      </c>
      <c r="F11" s="109" t="s">
        <v>388</v>
      </c>
    </row>
    <row r="12" spans="1:6" x14ac:dyDescent="0.3">
      <c r="A12" s="77" t="s">
        <v>389</v>
      </c>
      <c r="B12" s="77" t="s">
        <v>390</v>
      </c>
      <c r="C12" s="77" t="s">
        <v>391</v>
      </c>
      <c r="D12" s="77" t="s">
        <v>392</v>
      </c>
      <c r="E12" s="77" t="s">
        <v>393</v>
      </c>
      <c r="F12" s="110" t="s">
        <v>394</v>
      </c>
    </row>
    <row r="13" spans="1:6" x14ac:dyDescent="0.3">
      <c r="A13" s="77" t="s">
        <v>395</v>
      </c>
      <c r="B13" s="77" t="s">
        <v>396</v>
      </c>
      <c r="C13" s="77" t="s">
        <v>397</v>
      </c>
      <c r="D13" s="77" t="s">
        <v>398</v>
      </c>
      <c r="E13" s="77" t="s">
        <v>399</v>
      </c>
      <c r="F13" s="110" t="s">
        <v>400</v>
      </c>
    </row>
    <row r="18" spans="1:6" ht="30" customHeight="1" x14ac:dyDescent="0.3">
      <c r="A18" s="100" t="s">
        <v>404</v>
      </c>
      <c r="B18" s="101"/>
      <c r="C18" s="101"/>
      <c r="D18" s="101"/>
      <c r="E18" s="101"/>
      <c r="F18" s="102"/>
    </row>
  </sheetData>
  <mergeCells count="4">
    <mergeCell ref="A18:F18"/>
    <mergeCell ref="A1:B1"/>
    <mergeCell ref="A2:B2"/>
    <mergeCell ref="A3:B3"/>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3BBD1-77C8-4339-8064-A6E25D265E85}">
  <dimension ref="A1:AA30"/>
  <sheetViews>
    <sheetView tabSelected="1" topLeftCell="A6" workbookViewId="0">
      <selection activeCell="A3" sqref="A3"/>
    </sheetView>
  </sheetViews>
  <sheetFormatPr defaultRowHeight="14.4" x14ac:dyDescent="0.3"/>
  <cols>
    <col min="1" max="1" width="63.33203125" customWidth="1"/>
    <col min="2" max="2" width="30" customWidth="1"/>
    <col min="3" max="3" width="12.109375" customWidth="1"/>
    <col min="4" max="4" width="12.33203125" customWidth="1"/>
    <col min="5" max="5" width="16.88671875" customWidth="1"/>
    <col min="6" max="6" width="69.21875" customWidth="1"/>
    <col min="7" max="27" width="7.109375" customWidth="1"/>
  </cols>
  <sheetData>
    <row r="1" spans="1:8" ht="18" x14ac:dyDescent="0.3">
      <c r="A1" s="79" t="s">
        <v>432</v>
      </c>
    </row>
    <row r="2" spans="1:8" x14ac:dyDescent="0.3">
      <c r="A2" s="111" t="s">
        <v>437</v>
      </c>
    </row>
    <row r="3" spans="1:8" x14ac:dyDescent="0.3">
      <c r="A3" s="86" t="s">
        <v>438</v>
      </c>
    </row>
    <row r="4" spans="1:8" x14ac:dyDescent="0.3">
      <c r="A4" s="80" t="s">
        <v>0</v>
      </c>
      <c r="B4" s="80" t="s">
        <v>405</v>
      </c>
      <c r="C4" s="80" t="s">
        <v>38</v>
      </c>
      <c r="D4" s="80" t="s">
        <v>39</v>
      </c>
      <c r="E4" s="80" t="s">
        <v>406</v>
      </c>
      <c r="F4" s="80" t="s">
        <v>407</v>
      </c>
      <c r="G4" s="49"/>
      <c r="H4" s="78"/>
    </row>
    <row r="5" spans="1:8" x14ac:dyDescent="0.3">
      <c r="A5" s="81" t="s">
        <v>219</v>
      </c>
      <c r="B5" t="s">
        <v>44</v>
      </c>
      <c r="C5">
        <v>15483.2</v>
      </c>
      <c r="D5">
        <v>20200</v>
      </c>
      <c r="E5">
        <v>26600</v>
      </c>
      <c r="F5" t="s">
        <v>408</v>
      </c>
    </row>
    <row r="6" spans="1:8" x14ac:dyDescent="0.3">
      <c r="A6" s="81" t="s">
        <v>219</v>
      </c>
      <c r="B6" t="s">
        <v>78</v>
      </c>
      <c r="C6">
        <v>1349.3</v>
      </c>
      <c r="D6">
        <v>1588</v>
      </c>
      <c r="E6">
        <v>2323</v>
      </c>
      <c r="F6" t="s">
        <v>409</v>
      </c>
    </row>
    <row r="7" spans="1:8" x14ac:dyDescent="0.3">
      <c r="A7" s="81" t="s">
        <v>229</v>
      </c>
      <c r="B7" t="s">
        <v>211</v>
      </c>
      <c r="C7" s="66">
        <v>8.6999999999999994E-2</v>
      </c>
      <c r="D7" s="66">
        <v>7.9000000000000001E-2</v>
      </c>
      <c r="E7" s="66">
        <v>8.6999999999999994E-2</v>
      </c>
      <c r="F7" t="s">
        <v>410</v>
      </c>
    </row>
    <row r="8" spans="1:8" x14ac:dyDescent="0.3">
      <c r="A8" s="81" t="s">
        <v>231</v>
      </c>
      <c r="B8" t="s">
        <v>212</v>
      </c>
      <c r="C8" s="66">
        <v>1.6E-2</v>
      </c>
      <c r="D8" s="66">
        <v>1.6E-2</v>
      </c>
      <c r="E8" s="66">
        <v>1.7000000000000001E-2</v>
      </c>
      <c r="F8" t="s">
        <v>411</v>
      </c>
    </row>
    <row r="9" spans="1:8" x14ac:dyDescent="0.3">
      <c r="A9" s="81" t="s">
        <v>112</v>
      </c>
      <c r="B9" t="s">
        <v>213</v>
      </c>
      <c r="C9" s="66">
        <v>-0.64200000000000002</v>
      </c>
      <c r="D9" s="66">
        <v>-0.75600000000000001</v>
      </c>
      <c r="E9" s="66">
        <v>-0.26500000000000001</v>
      </c>
      <c r="F9" t="s">
        <v>412</v>
      </c>
    </row>
    <row r="10" spans="1:8" x14ac:dyDescent="0.3">
      <c r="A10" s="81" t="s">
        <v>112</v>
      </c>
      <c r="B10" t="s">
        <v>214</v>
      </c>
      <c r="C10" s="66">
        <v>-0.52400000000000002</v>
      </c>
      <c r="D10" s="66">
        <v>-0.621</v>
      </c>
      <c r="E10" s="66">
        <v>-0.223</v>
      </c>
      <c r="F10" t="s">
        <v>413</v>
      </c>
    </row>
    <row r="11" spans="1:8" x14ac:dyDescent="0.3">
      <c r="A11" s="81" t="s">
        <v>224</v>
      </c>
      <c r="B11" t="s">
        <v>203</v>
      </c>
      <c r="C11">
        <v>-413</v>
      </c>
      <c r="D11">
        <v>-617.5</v>
      </c>
      <c r="E11">
        <v>-619.5</v>
      </c>
      <c r="F11" t="s">
        <v>414</v>
      </c>
    </row>
    <row r="12" spans="1:8" x14ac:dyDescent="0.3">
      <c r="A12" s="81" t="s">
        <v>236</v>
      </c>
      <c r="B12" t="s">
        <v>45</v>
      </c>
      <c r="C12">
        <v>14</v>
      </c>
      <c r="D12">
        <v>16.5</v>
      </c>
      <c r="E12">
        <v>18.7</v>
      </c>
      <c r="F12" t="s">
        <v>415</v>
      </c>
    </row>
    <row r="13" spans="1:8" x14ac:dyDescent="0.3">
      <c r="A13" s="81" t="s">
        <v>416</v>
      </c>
      <c r="B13" t="s">
        <v>47</v>
      </c>
      <c r="C13">
        <v>3</v>
      </c>
      <c r="D13">
        <v>3.9</v>
      </c>
      <c r="E13">
        <v>4.9000000000000004</v>
      </c>
      <c r="F13" t="s">
        <v>417</v>
      </c>
    </row>
    <row r="14" spans="1:8" x14ac:dyDescent="0.3">
      <c r="A14" s="81" t="s">
        <v>244</v>
      </c>
      <c r="B14" t="s">
        <v>217</v>
      </c>
      <c r="C14" s="66">
        <v>0.625</v>
      </c>
      <c r="D14" s="66">
        <v>0.68899999999999995</v>
      </c>
      <c r="E14" s="66">
        <v>0.71299999999999997</v>
      </c>
      <c r="F14" t="s">
        <v>418</v>
      </c>
    </row>
    <row r="15" spans="1:8" x14ac:dyDescent="0.3">
      <c r="A15" s="82" t="s">
        <v>419</v>
      </c>
      <c r="B15" s="69" t="s">
        <v>420</v>
      </c>
      <c r="C15" s="69"/>
      <c r="D15" s="69"/>
      <c r="E15" s="69">
        <v>4979.8</v>
      </c>
      <c r="F15" s="69" t="s">
        <v>421</v>
      </c>
    </row>
    <row r="16" spans="1:8" x14ac:dyDescent="0.3">
      <c r="A16" s="82" t="s">
        <v>419</v>
      </c>
      <c r="B16" s="69" t="s">
        <v>422</v>
      </c>
      <c r="C16" s="69"/>
      <c r="D16" s="69"/>
      <c r="E16" s="69">
        <v>94.6</v>
      </c>
      <c r="F16" s="69" t="s">
        <v>423</v>
      </c>
    </row>
    <row r="17" spans="1:27" x14ac:dyDescent="0.3">
      <c r="A17" s="82" t="s">
        <v>424</v>
      </c>
      <c r="B17" s="69" t="s">
        <v>425</v>
      </c>
      <c r="C17" s="69"/>
      <c r="D17" s="69"/>
      <c r="E17" s="69">
        <v>-428.7</v>
      </c>
      <c r="F17" s="69" t="s">
        <v>426</v>
      </c>
    </row>
    <row r="18" spans="1:27" x14ac:dyDescent="0.3">
      <c r="A18" s="83" t="s">
        <v>427</v>
      </c>
      <c r="B18" s="72" t="s">
        <v>428</v>
      </c>
      <c r="C18" s="72"/>
      <c r="D18" s="72"/>
      <c r="E18" s="72">
        <v>4412.5</v>
      </c>
      <c r="F18" s="72" t="s">
        <v>429</v>
      </c>
    </row>
    <row r="19" spans="1:27" x14ac:dyDescent="0.3">
      <c r="A19" s="84" t="s">
        <v>427</v>
      </c>
      <c r="B19" s="75" t="s">
        <v>430</v>
      </c>
      <c r="C19" s="75"/>
      <c r="D19" s="75"/>
      <c r="E19" s="75">
        <v>-5054.8</v>
      </c>
      <c r="F19" s="75" t="s">
        <v>431</v>
      </c>
    </row>
    <row r="24" spans="1:27" ht="15" x14ac:dyDescent="0.3">
      <c r="A24" s="93" t="s">
        <v>433</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row>
    <row r="25" spans="1:27" x14ac:dyDescent="0.3">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row>
    <row r="26" spans="1:27" ht="30" customHeight="1" x14ac:dyDescent="0.3">
      <c r="A26" s="90" t="s">
        <v>434</v>
      </c>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7"/>
    </row>
    <row r="27" spans="1:27" x14ac:dyDescent="0.3">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row>
    <row r="28" spans="1:27" ht="49.95" customHeight="1" x14ac:dyDescent="0.3">
      <c r="A28" s="90" t="s">
        <v>435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c r="AA28" s="99"/>
    </row>
    <row r="29" spans="1:27" x14ac:dyDescent="0.3">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row>
    <row r="30" spans="1:27" ht="30" customHeight="1" x14ac:dyDescent="0.3">
      <c r="A30" s="90" t="s">
        <v>436</v>
      </c>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2"/>
    </row>
  </sheetData>
  <mergeCells count="7">
    <mergeCell ref="A30:AA30"/>
    <mergeCell ref="A24:AA24"/>
    <mergeCell ref="A25:AA25"/>
    <mergeCell ref="A26:AA26"/>
    <mergeCell ref="A27:AA27"/>
    <mergeCell ref="A28:AA28"/>
    <mergeCell ref="A29:A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Source_Tracker</vt:lpstr>
      <vt:lpstr>Raw_10K_Extract</vt:lpstr>
      <vt:lpstr>Clean_Financials</vt:lpstr>
      <vt:lpstr>Income_Statement</vt:lpstr>
      <vt:lpstr>Balance_Sheet</vt:lpstr>
      <vt:lpstr>Cash_Flow</vt:lpstr>
      <vt:lpstr>Key_Metrics</vt:lpstr>
      <vt:lpstr>Assumptions</vt:lpstr>
      <vt:lpstr>Forecast_Model</vt:lpstr>
      <vt:lpstr>DCF_Valuation</vt:lpstr>
      <vt:lpstr>Variance_Analysis</vt:lpstr>
      <vt:lpstr>Scenario_Analysis</vt:lpstr>
      <vt:lpstr>Benchmark</vt:lpstr>
      <vt:lpstr>Output_Summary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Reddy</dc:creator>
  <cp:lastModifiedBy>Balaji Reddy</cp:lastModifiedBy>
  <dcterms:created xsi:type="dcterms:W3CDTF">2026-06-01T14:24:31Z</dcterms:created>
  <dcterms:modified xsi:type="dcterms:W3CDTF">2026-06-03T20:46:45Z</dcterms:modified>
</cp:coreProperties>
</file>